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$P(B)=\sum_{i=1}^nP(B\cap A_i)=\sum_{i=1}^nP(A_i)P_{A_i}(B)$ (on convient que $P(A_i)P_{A_i}(B)=0$ si $P(A_i)=0$). Cas particulier : $P(B)=P(A)P_A(B)+P(\bar A)P_{\bar A}(B)$.</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$P_B(A_j)=\dfrac{P_{A_j}(B)P(A_j)}{\sum_iP_{A_i}(B)P(A_i)}$. Version à deux événements ($P(A),P(B)\neq0$) : $P_B(A)=\dfrac{P_A(B)P(A)}{P(B)}$.</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row r="608">
      <c r="A608" s="9" t="inlineStr">
        <is>
          <t>M608</t>
        </is>
      </c>
      <c r="B608" s="10" t="inlineStr">
        <is>
          <t>Noir – conforme</t>
        </is>
      </c>
      <c r="C608" s="9" t="inlineStr">
        <is>
          <t>BCPST1</t>
        </is>
      </c>
      <c r="D608" s="9" t="inlineStr">
        <is>
          <t>BCPST1 · Probabilités 1 – Concepts de base</t>
        </is>
      </c>
      <c r="E608" s="9" t="inlineStr">
        <is>
          <t>Définition</t>
        </is>
      </c>
      <c r="F608" s="9" t="inlineStr">
        <is>
          <t>Événements : vocabulaire ensembliste</t>
        </is>
      </c>
      <c r="G608" s="9" t="inlineStr">
        <is>
          <t>Soient $\Omega$ un univers fini et $A$, $B$ deux événements.</t>
        </is>
      </c>
      <c r="H608" s="10" t="inlineStr">
        <is>
          <t>Traduire en langage ensembliste : événement élémentaire, impossible, certain, « $A$ et $B$ », « $A$ ou $B$ », contraire de $A$, $A$ et $B$ incompatibles, « $A$ implique $B$ ».</t>
        </is>
      </c>
      <c r="I608" s="9" t="inlineStr">
        <is>
          <t>Élémentaire : singleton $\{\omega\}$ ; impossible : $\varnothing$ ; certain : $\Omega$ ; « $A$ et $B$ » : $A\cap B$ ; « $A$ ou $B$ » : $A\cup B$ ; contraire : $\bar A=\Omega\setminus A$ ; incompatibles : $A\cap B=\varnothing$ ; « $A$ implique $B$ » : $A\subset B$.</t>
        </is>
      </c>
      <c r="J608" s="9" t="inlineStr">
        <is>
          <t>Programme Probabilités 1 : « Événements. Événement certain, événement impossible, événements incompatibles. »</t>
        </is>
      </c>
      <c r="K608" s="9" t="n"/>
      <c r="L608" s="9" t="inlineStr">
        <is>
          <t>Ajout d’après le cours « Espaces probabilisés »</t>
        </is>
      </c>
      <c r="M608" s="11" t="n"/>
      <c r="N608" s="11" t="n"/>
    </row>
    <row r="609">
      <c r="A609" s="9" t="inlineStr">
        <is>
          <t>M609</t>
        </is>
      </c>
      <c r="B609" s="10" t="inlineStr">
        <is>
          <t>Noir – conforme</t>
        </is>
      </c>
      <c r="C609" s="9" t="inlineStr">
        <is>
          <t>BCPST1</t>
        </is>
      </c>
      <c r="D609" s="9" t="inlineStr">
        <is>
          <t>BCPST1 · Probabilités 1 – Concepts de base</t>
        </is>
      </c>
      <c r="E609" s="9" t="inlineStr">
        <is>
          <t>Propriété</t>
        </is>
      </c>
      <c r="F609" s="9" t="inlineStr">
        <is>
          <t>Probabilité conditionnelle : P_A est une probabilité, conditionnement</t>
        </is>
      </c>
      <c r="G609" s="9" t="inlineStr">
        <is>
          <t>Soient $A$ un événement avec $P(A)\neq0$ et $B$ un événement.</t>
        </is>
      </c>
      <c r="H609" s="10" t="inlineStr">
        <is>
          <t>Quelle structure a $P_A$ ? Donner la formule de conditionnement.</t>
        </is>
      </c>
      <c r="I609" s="9" t="inlineStr">
        <is>
          <t>$P_A:B\mapsto P_A(B)=\dfrac{P(A\cap B)}{P(A)}$ est une probabilité sur $\Omega$ (elle vérifie donc toutes les règles de calcul : $P_A(\bar B)=1-P_A(B)$, etc.). Formule de conditionnement : $P(A\cap B)=P(A)\,P_A(B)$.</t>
        </is>
      </c>
      <c r="J609" s="9" t="inlineStr">
        <is>
          <t>Programme Probabilités 1 : « $P_A$ est une probabilité. Formule de conditionnement $P(A\cap B)=P(A)P_A(B)$. »</t>
        </is>
      </c>
      <c r="K609" s="9" t="n"/>
      <c r="L609" s="9" t="inlineStr">
        <is>
          <t>Ajout d’après le cours « Espaces probabilisés »</t>
        </is>
      </c>
      <c r="M609" s="11" t="n"/>
      <c r="N609" s="11" t="n"/>
    </row>
    <row r="610">
      <c r="A610" s="9" t="inlineStr">
        <is>
          <t>M610</t>
        </is>
      </c>
      <c r="B610" s="10" t="inlineStr">
        <is>
          <t>Orange – incertain</t>
        </is>
      </c>
      <c r="C610" s="9" t="inlineStr">
        <is>
          <t>BCPST1</t>
        </is>
      </c>
      <c r="D610" s="9" t="inlineStr">
        <is>
          <t>BCPST1 · Probabilités 1 – Concepts de base</t>
        </is>
      </c>
      <c r="E610" s="9" t="inlineStr">
        <is>
          <t>Propriété</t>
        </is>
      </c>
      <c r="F610" s="9" t="inlineStr">
        <is>
          <t>Indépendance – propriétés</t>
        </is>
      </c>
      <c r="G610" s="9" t="inlineStr">
        <is>
          <t>Soient $A$, $B$ deux événements (et $A_1,\dots,A_n$ des événements).</t>
        </is>
      </c>
      <c r="H610" s="10" t="inlineStr">
        <is>
          <t>Caractériser l'indépendance de $A$ et $B$ par une probabilité conditionnelle. Que dire de $A$ et $\bar B$ ? de deux événements incompatibles ? Comment la mutuelle indépendance se transmet-elle aux contraires ?</t>
        </is>
      </c>
      <c r="I610" s="9" t="inlineStr">
        <is>
          <t>Si $P(A)\neq0$ : $A$ et $B$ indépendants $\iff P_A(B)=P(B)$. Si $A$ et $B$ sont indépendants, alors $A$ et $\bar B$, $\bar A$ et $B$, $\bar A$ et $\bar B$ le sont aussi. $\varnothing$ et $\Omega$ sont indépendants de tout événement. Deux événements incompatibles de probabilités non nulles ne sont pas indépendants. Si $A_1,\dots,A_n$ sont mutuellement indépendants, en remplaçant certains $A_i$ par leur contraire on obtient encore des événements mutuellement indépendants.</t>
        </is>
      </c>
      <c r="J610" s="9" t="inlineStr">
        <is>
          <t>Propriétés du cours ; le programme se limite aux définitions de l'indépendance.</t>
        </is>
      </c>
      <c r="K610" s="9" t="n"/>
      <c r="L610" s="9" t="inlineStr">
        <is>
          <t>Ajout d’après le cours « Espaces probabilisés »</t>
        </is>
      </c>
      <c r="M610" s="11" t="n"/>
      <c r="N610" s="11" t="n"/>
    </row>
    <row r="611">
      <c r="A611" s="9" t="inlineStr">
        <is>
          <t>M611</t>
        </is>
      </c>
      <c r="B611" s="10" t="inlineStr">
        <is>
          <t>Noir – conforme</t>
        </is>
      </c>
      <c r="C611" s="9" t="inlineStr">
        <is>
          <t>BCPST1</t>
        </is>
      </c>
      <c r="D611" s="9" t="inlineStr">
        <is>
          <t>BCPST1 · Statistique 1</t>
        </is>
      </c>
      <c r="E611" s="9" t="inlineStr">
        <is>
          <t>Définition</t>
        </is>
      </c>
      <c r="F611" s="9" t="inlineStr">
        <is>
          <t>Vocabulaire statistique</t>
        </is>
      </c>
      <c r="G611" s="9" t="inlineStr">
        <is>
          <t>On étudie une population finie.</t>
        </is>
      </c>
      <c r="H611" s="10" t="inlineStr">
        <is>
          <t>Définir : individu, taille, échantillon, caractère (qualitatif, quantitatif discret ou continu), modalités, série statistique.</t>
        </is>
      </c>
      <c r="I611" s="9" t="inlineStr">
        <is>
          <t>Population : ensemble fini d'individus ; sa taille est son nombre d'individus ; un échantillon est une partie de la population. Un caractère (ou variable statistique) $x$ associe une donnée à chaque individu : quantitatif si elle est numérique (discret : valeurs isolées ; continu : valeurs dans un intervalle, souvent regroupées en classes), qualitatif sinon. Modalités : valeurs possibles du caractère. Série statistique de taille $n$ : le $n$-uplet $(x_1,\dots,x_n)$ des valeurs observées.</t>
        </is>
      </c>
      <c r="J611" s="9" t="inlineStr">
        <is>
          <t>Programme Statistique 1 : « Caractère. Distinction entre caractères quantitatifs (discrets ou continus) et qualitatifs. Modalités d'un caractère, cas des regroupements par classes. »</t>
        </is>
      </c>
      <c r="K611" s="9" t="n"/>
      <c r="L611" s="9" t="inlineStr">
        <is>
          <t>Ajout d’après le cours « Statistiques »</t>
        </is>
      </c>
      <c r="M611" s="11" t="n"/>
      <c r="N611" s="11" t="n"/>
    </row>
    <row r="612">
      <c r="A612" s="9" t="inlineStr">
        <is>
          <t>M612</t>
        </is>
      </c>
      <c r="B612" s="10" t="inlineStr">
        <is>
          <t>Noir – conforme</t>
        </is>
      </c>
      <c r="C612" s="9" t="inlineStr">
        <is>
          <t>BCPST1</t>
        </is>
      </c>
      <c r="D612" s="9" t="inlineStr">
        <is>
          <t>BCPST1 · Statistique 1</t>
        </is>
      </c>
      <c r="E612" s="9" t="inlineStr">
        <is>
          <t>Définition</t>
        </is>
      </c>
      <c r="F612" s="9" t="inlineStr">
        <is>
          <t>Effectifs et fréquences</t>
        </is>
      </c>
      <c r="G612" s="9" t="inlineStr">
        <is>
          <t>Soit une série $(x_1,\dots,x_n)$ de modalités $a_1&lt;\dots&lt;a_k$.</t>
        </is>
      </c>
      <c r="H612" s="10" t="inlineStr">
        <is>
          <t>Définir l'effectif $n_j$ et la fréquence $f_j$ de $a_j$, ainsi que les effectifs et fréquences cumulés. Que valent $\sum n_j$ et $\sum f_j$ ?</t>
        </is>
      </c>
      <c r="I612" s="9" t="inlineStr">
        <is>
          <t>$n_j$ : nombre d'individus $i$ tels que $x_i=a_j$ ; $f_j=\dfrac{n_j}n$. Effectif (fréquence) cumulé(e) de $a_j$ : nombre (proportion) d'individus tels que $x_i\le a_j$, soit $n_1+\dots+n_j$ ($f_1+\dots+f_j$). $\sum_{j=1}^kn_j=n$ et $\sum_{j=1}^kf_j=1$.</t>
        </is>
      </c>
      <c r="J612" s="9" t="inlineStr">
        <is>
          <t>Programme Statistique 1 : « présentation dans un tableau : effectifs de chaque modalité. Effectifs cumulés, fréquences, fréquences cumulées. »</t>
        </is>
      </c>
      <c r="K612" s="9" t="n"/>
      <c r="L612" s="9" t="inlineStr">
        <is>
          <t>Ajout d’après le cours « Statistiques »</t>
        </is>
      </c>
      <c r="M612" s="11" t="n"/>
      <c r="N612" s="11" t="n"/>
    </row>
    <row r="613">
      <c r="A613" s="9" t="inlineStr">
        <is>
          <t>M613</t>
        </is>
      </c>
      <c r="B613" s="10" t="inlineStr">
        <is>
          <t>Noir – conforme</t>
        </is>
      </c>
      <c r="C613" s="9" t="inlineStr">
        <is>
          <t>BCPST1</t>
        </is>
      </c>
      <c r="D613" s="9" t="inlineStr">
        <is>
          <t>BCPST1 · Statistique 1</t>
        </is>
      </c>
      <c r="E613" s="9" t="inlineStr">
        <is>
          <t>Définition</t>
        </is>
      </c>
      <c r="F613" s="9" t="inlineStr">
        <is>
          <t>Représentations graphiques</t>
        </is>
      </c>
      <c r="G613" s="9" t="inlineStr">
        <is>
          <t>Soit une série statistique d'un caractère quantitatif.</t>
        </is>
      </c>
      <c r="H613" s="10" t="inlineStr">
        <is>
          <t>Quelles représentations graphiques utiliser (caractère discret, regroupé en classes, effectifs cumulés) ?</t>
        </is>
      </c>
      <c r="I613" s="9" t="inlineStr">
        <is>
          <t>Diagramme en bâtons (caractère discret : un bâton de hauteur $n_j$ en chaque modalité $a_j$). Histogramme (classes : rectangles dont l'aire est proportionnelle à l'effectif, donc hauteur = effectif / amplitude). Polygone des effectifs (ou fréquences) cumulés croissants, qui permet de lire médiane, quartiles et déciles. Série double : nuage de points.</t>
        </is>
      </c>
      <c r="J613" s="9" t="inlineStr">
        <is>
          <t>Programme Statistique 1 : « Représentations graphiques. Diagrammes en bâtons, histogrammes, polygones des effectifs cumulés (resp. fréquences cumulées). »</t>
        </is>
      </c>
      <c r="K613" s="9" t="n"/>
      <c r="L613" s="9" t="inlineStr">
        <is>
          <t>Ajout d’après le cours « Statistiques »</t>
        </is>
      </c>
      <c r="M613" s="11" t="n"/>
      <c r="N613" s="11" t="n"/>
    </row>
    <row r="614">
      <c r="A614" s="9" t="inlineStr">
        <is>
          <t>M614</t>
        </is>
      </c>
      <c r="B614" s="10" t="inlineStr">
        <is>
          <t>Noir – conforme</t>
        </is>
      </c>
      <c r="C614" s="9" t="inlineStr">
        <is>
          <t>BCPST1</t>
        </is>
      </c>
      <c r="D614" s="9" t="inlineStr">
        <is>
          <t>BCPST1 · Statistique 1</t>
        </is>
      </c>
      <c r="E614" s="9" t="inlineStr">
        <is>
          <t>Définition</t>
        </is>
      </c>
      <c r="F614" s="9" t="inlineStr">
        <is>
          <t>Mode et moyenne</t>
        </is>
      </c>
      <c r="G614" s="9" t="inlineStr">
        <is>
          <t>Soit une série $(x_1,\dots,x_n)$ de modalités $a_1,\dots,a_k$, d'effectifs $n_j$ et de fréquences $f_j$.</t>
        </is>
      </c>
      <c r="H614" s="10" t="inlineStr">
        <is>
          <t>Définir le mode et la moyenne $\bar x$ (à partir des observations, des effectifs, des fréquences, puis pour des classes $[b_j,c_j[$).</t>
        </is>
      </c>
      <c r="I614" s="9" t="inlineStr">
        <is>
          <t>Mode : modalité d'effectif maximal (classe modale : effectif / amplitude maximal). $\bar x=\dfrac1n\sum_{i=1}^nx_i=\dfrac1n\sum_{j=1}^kn_ja_j=\sum_{j=1}^kf_ja_j$. Pour des classes, on remplace $a_j$ par le centre $\frac{b_j+c_j}2$ (valeur approchée).</t>
        </is>
      </c>
      <c r="J614" s="9" t="inlineStr">
        <is>
          <t>Programme Statistique 1 : « Caractéristiques (empiriques) de position : mode, moyenne $\bar x$ (les calculs se font à partir des observations ou du tableau des effectifs). »</t>
        </is>
      </c>
      <c r="K614" s="9" t="n"/>
      <c r="L614" s="9" t="inlineStr">
        <is>
          <t>Ajout d’après le cours « Statistiques »</t>
        </is>
      </c>
      <c r="M614" s="11" t="n"/>
      <c r="N614" s="11" t="n"/>
    </row>
    <row r="615">
      <c r="A615" s="9" t="inlineStr">
        <is>
          <t>M615</t>
        </is>
      </c>
      <c r="B615" s="10" t="inlineStr">
        <is>
          <t>Noir – conforme</t>
        </is>
      </c>
      <c r="C615" s="9" t="inlineStr">
        <is>
          <t>BCPST1</t>
        </is>
      </c>
      <c r="D615" s="9" t="inlineStr">
        <is>
          <t>BCPST1 · Statistique 1</t>
        </is>
      </c>
      <c r="E615" s="9" t="inlineStr">
        <is>
          <t>Définition</t>
        </is>
      </c>
      <c r="F615" s="9" t="inlineStr">
        <is>
          <t>Médiane, quartiles, déciles</t>
        </is>
      </c>
      <c r="G615" s="9" t="inlineStr">
        <is>
          <t>Soit une série de taille $n$ rangée par valeurs croissantes $x_{(1)}\le\dots\le x_{(n)}$.</t>
        </is>
      </c>
      <c r="H615" s="10" t="inlineStr">
        <is>
          <t>Définir la médiane (selon la parité de $n$), puis les quartiles et déciles.</t>
        </is>
      </c>
      <c r="I615" s="9" t="inlineStr">
        <is>
          <t>Médiane : valeur telle qu'au moins la moitié des individus ont une valeur inférieure ou égale et au moins la moitié une valeur supérieure ou égale. $n$ impair : $x_{((n+1)/2)}$ (individu médian) ; $n$ pair : $\frac12\big(x_{(n/2)}+x_{(n/2+1)}\big)$. Quartiles $Q_1$, $Q_3$ (déciles $D_1$, $D_9$) : valeurs où la fréquence cumulée atteint $25\,\%$, $75\,\%$ ($10\,\%$, $90\,\%$), lues sur le polygone des fréquences cumulées.</t>
        </is>
      </c>
      <c r="J615" s="9" t="inlineStr">
        <is>
          <t>Programme Statistique 1 : « médiane … Modalité de l'individu médian ou moyenne des modalités des deux individus médians selon la parité de n » ; « quartiles, déciles (calculs à partir du polygone des effectifs cumulés ou des fréquences cumulées). »</t>
        </is>
      </c>
      <c r="K615" s="9" t="n"/>
      <c r="L615" s="9" t="inlineStr">
        <is>
          <t>Ajout d’après le cours « Statistiques »</t>
        </is>
      </c>
      <c r="M615" s="11" t="n"/>
      <c r="N615" s="11" t="n"/>
    </row>
    <row r="616">
      <c r="A616" s="9" t="inlineStr">
        <is>
          <t>M616</t>
        </is>
      </c>
      <c r="B616" s="10" t="inlineStr">
        <is>
          <t>Noir – conforme</t>
        </is>
      </c>
      <c r="C616" s="9" t="inlineStr">
        <is>
          <t>BCPST1</t>
        </is>
      </c>
      <c r="D616" s="9" t="inlineStr">
        <is>
          <t>BCPST1 · Statistique 1</t>
        </is>
      </c>
      <c r="E616" s="9" t="inlineStr">
        <is>
          <t>Définition</t>
        </is>
      </c>
      <c r="F616" s="9" t="inlineStr">
        <is>
          <t>Variance, écart-type, étendue</t>
        </is>
      </c>
      <c r="G616" s="9" t="inlineStr">
        <is>
          <t>Soit une série $(x_1,\dots,x_n)$ de moyenne $\bar x$.</t>
        </is>
      </c>
      <c r="H616" s="10" t="inlineStr">
        <is>
          <t>Définir l'étendue, la variance $s_x^2$ et l'écart-type $s_x$. Énoncer la formule de König-Huygens.</t>
        </is>
      </c>
      <c r="I616" s="9" t="inlineStr">
        <is>
          <t>Étendue : $\max x_i-\min x_i$. $s_x^2=\dfrac1n\sum_{i=1}^n(x_i-\bar x)^2$ (moyenne des carrés des écarts à la moyenne) $=\dfrac1n\sum_jn_j(a_j-\bar x)^2$ ; $s_x=\sqrt{s_x^2}$. König-Huygens : $s_x^2=\overline{x^2}-\bar x^2=\dfrac1n\sum x_i^2-\bar x^2$.</t>
        </is>
      </c>
      <c r="J616" s="9" t="inlineStr">
        <is>
          <t>Programme Statistique 1 : « Caractéristiques (empiriques) de dispersion : variance $s_x^2$ et écart-type $s_x$. La formule avec le facteur $\frac1{n-1}$ n'est pas un attendu du programme. »</t>
        </is>
      </c>
      <c r="K616" s="9" t="n"/>
      <c r="L616" s="9" t="inlineStr">
        <is>
          <t>Ajout d’après le cours « Statistiques »</t>
        </is>
      </c>
      <c r="M616" s="11" t="n"/>
      <c r="N616" s="11" t="n"/>
    </row>
    <row r="617">
      <c r="A617" s="9" t="inlineStr">
        <is>
          <t>M617</t>
        </is>
      </c>
      <c r="B617" s="10" t="inlineStr">
        <is>
          <t>Orange – incertain</t>
        </is>
      </c>
      <c r="C617" s="9" t="inlineStr">
        <is>
          <t>BCPST1</t>
        </is>
      </c>
      <c r="D617" s="9" t="inlineStr">
        <is>
          <t>BCPST1 · Statistique 1</t>
        </is>
      </c>
      <c r="E617" s="9" t="inlineStr">
        <is>
          <t>Propriété</t>
        </is>
      </c>
      <c r="F617" s="9" t="inlineStr">
        <is>
          <t>Changement affine de caractère</t>
        </is>
      </c>
      <c r="G617" s="9" t="inlineStr">
        <is>
          <t>Soient $(a,b)\in\mathbb R^2$ et $y_i=ax_i+b$ pour tout $i$.</t>
        </is>
      </c>
      <c r="H617" s="10" t="inlineStr">
        <is>
          <t>Exprimer $\bar y$, $s_y^2$ et $s_y$ en fonction de ceux de $x$.</t>
        </is>
      </c>
      <c r="I617" s="9" t="inlineStr">
        <is>
          <t>$\bar y=a\bar x+b$ ; $s_y^2=a^2s_x^2$ ; $s_y=|a|s_x$ (une translation ne change pas la dispersion).</t>
        </is>
      </c>
      <c r="J617" s="9" t="inlineStr">
        <is>
          <t>Propriétés du cours ; non citées par le programme.</t>
        </is>
      </c>
      <c r="K617" s="9" t="n"/>
      <c r="L617" s="9" t="inlineStr">
        <is>
          <t>Ajout d’après le cours « Statistiques »</t>
        </is>
      </c>
      <c r="M617" s="11" t="n"/>
      <c r="N617" s="11" t="n"/>
    </row>
    <row r="618">
      <c r="A618" s="9" t="inlineStr">
        <is>
          <t>M618</t>
        </is>
      </c>
      <c r="B618" s="10" t="inlineStr">
        <is>
          <t>Noir – conforme</t>
        </is>
      </c>
      <c r="C618" s="9" t="inlineStr">
        <is>
          <t>BCPST1</t>
        </is>
      </c>
      <c r="D618" s="9" t="inlineStr">
        <is>
          <t>BCPST1 · Statistique 1</t>
        </is>
      </c>
      <c r="E618" s="9" t="inlineStr">
        <is>
          <t>Définition</t>
        </is>
      </c>
      <c r="F618" s="9" t="inlineStr">
        <is>
          <t>Série double : point moyen et covariance</t>
        </is>
      </c>
      <c r="G618" s="9" t="inlineStr">
        <is>
          <t>Soit une série double $((x_1,y_1),\dots,(x_n,y_n))$.</t>
        </is>
      </c>
      <c r="H618" s="10" t="inlineStr">
        <is>
          <t>Définir le point moyen du nuage et la covariance $s_{xy}$. Énoncer la formule de König-Huygens pour la covariance.</t>
        </is>
      </c>
      <c r="I618" s="9" t="inlineStr">
        <is>
          <t>Point moyen : $G(\bar x,\bar y)$. $s_{xy}=\dfrac1n\sum_{i=1}^n(x_i-\bar x)(y_i-\bar y)$. König-Huygens : $s_{xy}=\overline{xy}-\bar x\,\bar y=\dfrac1n\sum x_iy_i-\bar x\bar y$ (moyenne du produit moins produit des moyennes). $s_{xx}=s_x^2$.</t>
        </is>
      </c>
      <c r="J618" s="9" t="inlineStr">
        <is>
          <t>Programme Statistique 1 : « Représentation par un nuage de points de ℝ². Point moyen $(\bar x,\bar y)$ du nuage. Caractéristiques d'une série statistique double : covariance $s_{xy}$. »</t>
        </is>
      </c>
      <c r="K618" s="9" t="n"/>
      <c r="L618" s="9" t="inlineStr">
        <is>
          <t>Ajout d’après le cours « Statistiques »</t>
        </is>
      </c>
      <c r="M618" s="11" t="n"/>
      <c r="N618" s="11" t="n"/>
    </row>
    <row r="619">
      <c r="A619" s="9" t="inlineStr">
        <is>
          <t>M619</t>
        </is>
      </c>
      <c r="B619" s="10" t="inlineStr">
        <is>
          <t>Noir – conforme</t>
        </is>
      </c>
      <c r="C619" s="9" t="inlineStr">
        <is>
          <t>BCPST1</t>
        </is>
      </c>
      <c r="D619" s="9" t="inlineStr">
        <is>
          <t>BCPST1 · Statistique 1</t>
        </is>
      </c>
      <c r="E619" s="9" t="inlineStr">
        <is>
          <t>Définition</t>
        </is>
      </c>
      <c r="F619" s="9" t="inlineStr">
        <is>
          <t>Coefficient de corrélation linéaire</t>
        </is>
      </c>
      <c r="G619" s="9" t="inlineStr">
        <is>
          <t>Soit une série double de caractères $x$, $y$ non constants.</t>
        </is>
      </c>
      <c r="H619" s="10" t="inlineStr">
        <is>
          <t>Définir $r_{xy}$. Quelles sont ses valeurs possibles et son interprétation ?</t>
        </is>
      </c>
      <c r="I619" s="9" t="inlineStr">
        <is>
          <t>$r_{xy}=\dfrac{s_{xy}}{s_xs_y}$, sans unité, avec $-1\le r_{xy}\le1$. $|r_{xy}|$ proche de $1$ : nuage presque aligné (relation presque affine), droite de pente du signe de $r_{xy}$ ; $r_{xy}$ proche de $0$ : pas de lien affine (il peut exister un lien non affine).</t>
        </is>
      </c>
      <c r="J619" s="9" t="inlineStr">
        <is>
          <t>Programme Statistique 1 : « coefficient de corrélation $r_{xy}$ ».</t>
        </is>
      </c>
      <c r="K619" s="9" t="n"/>
      <c r="L619" s="9" t="inlineStr">
        <is>
          <t>Ajout d’après le cours « Statistiques »</t>
        </is>
      </c>
      <c r="M619" s="11" t="n"/>
      <c r="N619" s="11" t="n"/>
    </row>
    <row r="620">
      <c r="A620" s="9" t="inlineStr">
        <is>
          <t>M620</t>
        </is>
      </c>
      <c r="B620" s="10" t="inlineStr">
        <is>
          <t>Noir – conforme</t>
        </is>
      </c>
      <c r="C620" s="9" t="inlineStr">
        <is>
          <t>BCPST1</t>
        </is>
      </c>
      <c r="D620" s="9" t="inlineStr">
        <is>
          <t>BCPST1 · Statistique 1</t>
        </is>
      </c>
      <c r="E620" s="9" t="inlineStr">
        <is>
          <t>Théorème</t>
        </is>
      </c>
      <c r="F620" s="9" t="inlineStr">
        <is>
          <t>Ajustement affine par les moindres carrés</t>
        </is>
      </c>
      <c r="G620" s="9" t="inlineStr">
        <is>
          <t>Soit une série double $(x_i,y_i)_{1\le i\le n}$ avec $x$ non constant.</t>
        </is>
      </c>
      <c r="H620" s="10" t="inlineStr">
        <is>
          <t>Quelle est la droite de régression de $y$ en $x$ ? Que faire si le nuage n'est pas allongé selon une droite ?</t>
        </is>
      </c>
      <c r="I620" s="9" t="inlineStr">
        <is>
          <t>La droite $y=ax+b$ qui minimise $\sum_{i=1}^n\big(y_i-(ax_i+b)\big)^2$ a pour coefficients $a=\dfrac{s_{xy}}{s_x^2}$ et $b=\bar y-a\bar x$ : elle passe par le point moyen $G(\bar x,\bar y)$. Si le nuage n'est pas « affine », on change de variable (par exemple $z=\ln y$ pour une croissance exponentielle) avant d'ajuster.</t>
        </is>
      </c>
      <c r="J620" s="9" t="inlineStr">
        <is>
          <t>Programme Statistique 1 : « Approche descriptive de l'ajustement affine selon la méthode des moindres carrés. L'optimalité de l'ajustement est admise » ; « changements de variables ».</t>
        </is>
      </c>
      <c r="K620" s="9" t="n"/>
      <c r="L620" s="9" t="inlineStr">
        <is>
          <t>Ajout d’après le cours « Statistiques »</t>
        </is>
      </c>
      <c r="M620" s="11" t="n"/>
      <c r="N620" s="11" t="n"/>
    </row>
    <row r="621">
      <c r="A621" s="9" t="inlineStr">
        <is>
          <t>M621</t>
        </is>
      </c>
      <c r="B621" s="10" t="inlineStr">
        <is>
          <t>Noir – conforme</t>
        </is>
      </c>
      <c r="C621" s="9" t="inlineStr">
        <is>
          <t>BCPST1</t>
        </is>
      </c>
      <c r="D621" s="9" t="inlineStr">
        <is>
          <t>BCPST1 · Outils 3 – Trigonométrie</t>
        </is>
      </c>
      <c r="E621" s="9" t="inlineStr">
        <is>
          <t>Méthode</t>
        </is>
      </c>
      <c r="F621" s="9" t="inlineStr">
        <is>
          <t>Équations trigonométriques cos x = c, sin x = s, tan x = t</t>
        </is>
      </c>
      <c r="G621" s="9" t="inlineStr">
        <is>
          <t>Soient $a$ un réel et $x$ l'inconnue réelle.</t>
        </is>
      </c>
      <c r="H621" s="10" t="inlineStr">
        <is>
          <t>Résoudre $\cos x=\cos a$, $\sin x=\sin a$, $\tan x=\tan a$. Comment exprimer une solution de $\cos x=c$, $\sin x=s$, $\tan x=t$ ?</t>
        </is>
      </c>
      <c r="I621" s="9" t="inlineStr">
        <is>
          <t>$\cos x=\cos a\iff x\equiv a\ [2\pi]$ ou $x\equiv-a\ [2\pi]$ ; $\sin x=\sin a\iff x\equiv a\ [2\pi]$ ou $x\equiv\pi-a\ [2\pi]$ ; $\tan x=\tan a\iff x\equiv a\ [\pi]$ (avec $x,a\not\equiv\frac\pi2\ [\pi]$). Pour $c\in[-1,1]$, $\arccos c$ est l'unique solution de $\cos x=c$ dans $[0,\pi]$ ; pour $s\in[-1,1]$, $\arcsin s$ l'unique solution de $\sin x=s$ dans $[-\frac\pi2,\frac\pi2]$ ; pour $t\in\mathbb R$, $\arctan t$ l'unique solution de $\tan x=t$ dans $]-\frac\pi2,\frac\pi2[$.</t>
        </is>
      </c>
      <c r="J621" s="9" t="inlineStr">
        <is>
          <t>Programme Outils 3 : « Résolution d'équations trigonométriques simples : cos(x) = c, sin(x) = s et tan(x) = t. Notations arccos, arcsin, arctan … définitions en termes de solutions d'équations dans certains intervalles. »</t>
        </is>
      </c>
      <c r="K621" s="9" t="n"/>
      <c r="L621" s="9" t="inlineStr">
        <is>
          <t>Ajout d’après le TD « Trigonométrie »</t>
        </is>
      </c>
      <c r="M621" s="11" t="n"/>
      <c r="N621" s="11" t="n"/>
    </row>
  </sheetData>
  <autoFilter ref="A1:N461"/>
  <dataValidations count="1">
    <dataValidation sqref="M2:M62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COUNTIF(Fiches!$B$2:$B$621,A4)</f>
        <v/>
      </c>
      <c r="C4" s="22">
        <f>IF($B$7=0,0,B4/$B$7)</f>
        <v/>
      </c>
    </row>
    <row r="5">
      <c r="A5" s="23" t="inlineStr">
        <is>
          <t>Orange – incertain</t>
        </is>
      </c>
      <c r="B5" s="21">
        <f>COUNTIF(Fiches!$B$2:$B$621,A5)</f>
        <v/>
      </c>
      <c r="C5" s="22">
        <f>IF($B$7=0,0,B5/$B$7)</f>
        <v/>
      </c>
    </row>
    <row r="6">
      <c r="A6" s="24" t="inlineStr">
        <is>
          <t>Rouge – hors programme</t>
        </is>
      </c>
      <c r="B6" s="21">
        <f>COUNTIF(Fiches!$B$2:$B$621,A6)</f>
        <v/>
      </c>
      <c r="C6" s="22">
        <f>IF($B$7=0,0,B6/$B$7)</f>
        <v/>
      </c>
    </row>
    <row r="7">
      <c r="A7" s="25" t="inlineStr">
        <is>
          <t>Total</t>
        </is>
      </c>
      <c r="B7" s="25">
        <f>SUM(B4:B6)</f>
        <v/>
      </c>
    </row>
    <row r="8"/>
    <row r="9">
      <c r="A9" s="25" t="inlineStr">
        <is>
          <t>Décisions saisies</t>
        </is>
      </c>
      <c r="B9" s="21">
        <f>COUNTA(Fiches!$M$2:$M$621)</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COUNTIFS(Fiches!$D$2:$D$621,$A13,Fiches!$B$2:$B$621,"Noir – conforme")</f>
        <v/>
      </c>
      <c r="C13" s="27">
        <f>COUNTIFS(Fiches!$D$2:$D$621,$A13,Fiches!$B$2:$B$621,"Orange – incertain")</f>
        <v/>
      </c>
      <c r="D13" s="28">
        <f>COUNTIFS(Fiches!$D$2:$D$621,$A13,Fiches!$B$2:$B$621,"Rouge – hors programme")</f>
        <v/>
      </c>
      <c r="E13" s="25">
        <f>SUM(B13:D13)</f>
        <v/>
      </c>
    </row>
    <row r="14">
      <c r="A14" s="21" t="inlineStr">
        <is>
          <t>BCPST1 · Outils 2 – Nombres réels</t>
        </is>
      </c>
      <c r="B14" s="26">
        <f>COUNTIFS(Fiches!$D$2:$D$621,$A14,Fiches!$B$2:$B$621,"Noir – conforme")</f>
        <v/>
      </c>
      <c r="C14" s="27">
        <f>COUNTIFS(Fiches!$D$2:$D$621,$A14,Fiches!$B$2:$B$621,"Orange – incertain")</f>
        <v/>
      </c>
      <c r="D14" s="28">
        <f>COUNTIFS(Fiches!$D$2:$D$621,$A14,Fiches!$B$2:$B$621,"Rouge – hors programme")</f>
        <v/>
      </c>
      <c r="E14" s="25">
        <f>SUM(B14:D14)</f>
        <v/>
      </c>
    </row>
    <row r="15">
      <c r="A15" s="21" t="inlineStr">
        <is>
          <t>BCPST1 · Outils 3 – Trigonométrie</t>
        </is>
      </c>
      <c r="B15" s="26">
        <f>COUNTIFS(Fiches!$D$2:$D$621,$A15,Fiches!$B$2:$B$621,"Noir – conforme")</f>
        <v/>
      </c>
      <c r="C15" s="27">
        <f>COUNTIFS(Fiches!$D$2:$D$621,$A15,Fiches!$B$2:$B$621,"Orange – incertain")</f>
        <v/>
      </c>
      <c r="D15" s="28">
        <f>COUNTIFS(Fiches!$D$2:$D$621,$A15,Fiches!$B$2:$B$621,"Rouge – hors programme")</f>
        <v/>
      </c>
      <c r="E15" s="25">
        <f>SUM(B15:D15)</f>
        <v/>
      </c>
    </row>
    <row r="16">
      <c r="A16" s="21" t="inlineStr">
        <is>
          <t>BCPST1 · Outils 4 – Nombres complexes</t>
        </is>
      </c>
      <c r="B16" s="26">
        <f>COUNTIFS(Fiches!$D$2:$D$621,$A16,Fiches!$B$2:$B$621,"Noir – conforme")</f>
        <v/>
      </c>
      <c r="C16" s="27">
        <f>COUNTIFS(Fiches!$D$2:$D$621,$A16,Fiches!$B$2:$B$621,"Orange – incertain")</f>
        <v/>
      </c>
      <c r="D16" s="28">
        <f>COUNTIFS(Fiches!$D$2:$D$621,$A16,Fiches!$B$2:$B$621,"Rouge – hors programme")</f>
        <v/>
      </c>
      <c r="E16" s="25">
        <f>SUM(B16:D16)</f>
        <v/>
      </c>
    </row>
    <row r="17">
      <c r="A17" s="21" t="inlineStr">
        <is>
          <t>BCPST1 · Outils 5 – Méthodes de calcul</t>
        </is>
      </c>
      <c r="B17" s="26">
        <f>COUNTIFS(Fiches!$D$2:$D$621,$A17,Fiches!$B$2:$B$621,"Noir – conforme")</f>
        <v/>
      </c>
      <c r="C17" s="27">
        <f>COUNTIFS(Fiches!$D$2:$D$621,$A17,Fiches!$B$2:$B$621,"Orange – incertain")</f>
        <v/>
      </c>
      <c r="D17" s="28">
        <f>COUNTIFS(Fiches!$D$2:$D$621,$A17,Fiches!$B$2:$B$621,"Rouge – hors programme")</f>
        <v/>
      </c>
      <c r="E17" s="25">
        <f>SUM(B17:D17)</f>
        <v/>
      </c>
    </row>
    <row r="18">
      <c r="A18" s="21" t="inlineStr">
        <is>
          <t>BCPST1 · Outils 6 – Vocabulaire des applications</t>
        </is>
      </c>
      <c r="B18" s="26">
        <f>COUNTIFS(Fiches!$D$2:$D$621,$A18,Fiches!$B$2:$B$621,"Noir – conforme")</f>
        <v/>
      </c>
      <c r="C18" s="27">
        <f>COUNTIFS(Fiches!$D$2:$D$621,$A18,Fiches!$B$2:$B$621,"Orange – incertain")</f>
        <v/>
      </c>
      <c r="D18" s="28">
        <f>COUNTIFS(Fiches!$D$2:$D$621,$A18,Fiches!$B$2:$B$621,"Rouge – hors programme")</f>
        <v/>
      </c>
      <c r="E18" s="25">
        <f>SUM(B18:D18)</f>
        <v/>
      </c>
    </row>
    <row r="19">
      <c r="A19" s="21" t="inlineStr">
        <is>
          <t>BCPST1 · Outils 7 – Dénombrement</t>
        </is>
      </c>
      <c r="B19" s="26">
        <f>COUNTIFS(Fiches!$D$2:$D$621,$A19,Fiches!$B$2:$B$621,"Noir – conforme")</f>
        <v/>
      </c>
      <c r="C19" s="27">
        <f>COUNTIFS(Fiches!$D$2:$D$621,$A19,Fiches!$B$2:$B$621,"Orange – incertain")</f>
        <v/>
      </c>
      <c r="D19" s="28">
        <f>COUNTIFS(Fiches!$D$2:$D$621,$A19,Fiches!$B$2:$B$621,"Rouge – hors programme")</f>
        <v/>
      </c>
      <c r="E19" s="25">
        <f>SUM(B19:D19)</f>
        <v/>
      </c>
    </row>
    <row r="20">
      <c r="A20" s="21" t="inlineStr">
        <is>
          <t>BCPST1 · Analyse 1 – Suites réelles usuelles</t>
        </is>
      </c>
      <c r="B20" s="26">
        <f>COUNTIFS(Fiches!$D$2:$D$621,$A20,Fiches!$B$2:$B$621,"Noir – conforme")</f>
        <v/>
      </c>
      <c r="C20" s="27">
        <f>COUNTIFS(Fiches!$D$2:$D$621,$A20,Fiches!$B$2:$B$621,"Orange – incertain")</f>
        <v/>
      </c>
      <c r="D20" s="28">
        <f>COUNTIFS(Fiches!$D$2:$D$621,$A20,Fiches!$B$2:$B$621,"Rouge – hors programme")</f>
        <v/>
      </c>
      <c r="E20" s="25">
        <f>SUM(B20:D20)</f>
        <v/>
      </c>
    </row>
    <row r="21">
      <c r="A21" s="21" t="inlineStr">
        <is>
          <t>BCPST1 · Analyse 2 – Fonctions réelles usuelles</t>
        </is>
      </c>
      <c r="B21" s="26">
        <f>COUNTIFS(Fiches!$D$2:$D$621,$A21,Fiches!$B$2:$B$621,"Noir – conforme")</f>
        <v/>
      </c>
      <c r="C21" s="27">
        <f>COUNTIFS(Fiches!$D$2:$D$621,$A21,Fiches!$B$2:$B$621,"Orange – incertain")</f>
        <v/>
      </c>
      <c r="D21" s="28">
        <f>COUNTIFS(Fiches!$D$2:$D$621,$A21,Fiches!$B$2:$B$621,"Rouge – hors programme")</f>
        <v/>
      </c>
      <c r="E21" s="25">
        <f>SUM(B21:D21)</f>
        <v/>
      </c>
    </row>
    <row r="22">
      <c r="A22" s="21" t="inlineStr">
        <is>
          <t>BCPST1 · Analyse 3 – Dérivées, primitives, intégrales</t>
        </is>
      </c>
      <c r="B22" s="26">
        <f>COUNTIFS(Fiches!$D$2:$D$621,$A22,Fiches!$B$2:$B$621,"Noir – conforme")</f>
        <v/>
      </c>
      <c r="C22" s="27">
        <f>COUNTIFS(Fiches!$D$2:$D$621,$A22,Fiches!$B$2:$B$621,"Orange – incertain")</f>
        <v/>
      </c>
      <c r="D22" s="28">
        <f>COUNTIFS(Fiches!$D$2:$D$621,$A22,Fiches!$B$2:$B$621,"Rouge – hors programme")</f>
        <v/>
      </c>
      <c r="E22" s="25">
        <f>SUM(B22:D22)</f>
        <v/>
      </c>
    </row>
    <row r="23">
      <c r="A23" s="21" t="inlineStr">
        <is>
          <t>BCPST1 · Analyse 4 – Équations différentielles linéaires</t>
        </is>
      </c>
      <c r="B23" s="26">
        <f>COUNTIFS(Fiches!$D$2:$D$621,$A23,Fiches!$B$2:$B$621,"Noir – conforme")</f>
        <v/>
      </c>
      <c r="C23" s="27">
        <f>COUNTIFS(Fiches!$D$2:$D$621,$A23,Fiches!$B$2:$B$621,"Orange – incertain")</f>
        <v/>
      </c>
      <c r="D23" s="28">
        <f>COUNTIFS(Fiches!$D$2:$D$621,$A23,Fiches!$B$2:$B$621,"Rouge – hors programme")</f>
        <v/>
      </c>
      <c r="E23" s="25">
        <f>SUM(B23:D23)</f>
        <v/>
      </c>
    </row>
    <row r="24">
      <c r="A24" s="21" t="inlineStr">
        <is>
          <t>BCPST1 · Algèbre linéaire 1 – Systèmes linéaires</t>
        </is>
      </c>
      <c r="B24" s="26">
        <f>COUNTIFS(Fiches!$D$2:$D$621,$A24,Fiches!$B$2:$B$621,"Noir – conforme")</f>
        <v/>
      </c>
      <c r="C24" s="27">
        <f>COUNTIFS(Fiches!$D$2:$D$621,$A24,Fiches!$B$2:$B$621,"Orange – incertain")</f>
        <v/>
      </c>
      <c r="D24" s="28">
        <f>COUNTIFS(Fiches!$D$2:$D$621,$A24,Fiches!$B$2:$B$621,"Rouge – hors programme")</f>
        <v/>
      </c>
      <c r="E24" s="25">
        <f>SUM(B24:D24)</f>
        <v/>
      </c>
    </row>
    <row r="25">
      <c r="A25" s="21" t="inlineStr">
        <is>
          <t>BCPST1 · Algèbre linéaire 2 – Matrices</t>
        </is>
      </c>
      <c r="B25" s="26">
        <f>COUNTIFS(Fiches!$D$2:$D$621,$A25,Fiches!$B$2:$B$621,"Noir – conforme")</f>
        <v/>
      </c>
      <c r="C25" s="27">
        <f>COUNTIFS(Fiches!$D$2:$D$621,$A25,Fiches!$B$2:$B$621,"Orange – incertain")</f>
        <v/>
      </c>
      <c r="D25" s="28">
        <f>COUNTIFS(Fiches!$D$2:$D$621,$A25,Fiches!$B$2:$B$621,"Rouge – hors programme")</f>
        <v/>
      </c>
      <c r="E25" s="25">
        <f>SUM(B25:D25)</f>
        <v/>
      </c>
    </row>
    <row r="26">
      <c r="A26" s="21" t="inlineStr">
        <is>
          <t>BCPST1 · Géométrie 1</t>
        </is>
      </c>
      <c r="B26" s="26">
        <f>COUNTIFS(Fiches!$D$2:$D$621,$A26,Fiches!$B$2:$B$621,"Noir – conforme")</f>
        <v/>
      </c>
      <c r="C26" s="27">
        <f>COUNTIFS(Fiches!$D$2:$D$621,$A26,Fiches!$B$2:$B$621,"Orange – incertain")</f>
        <v/>
      </c>
      <c r="D26" s="28">
        <f>COUNTIFS(Fiches!$D$2:$D$621,$A26,Fiches!$B$2:$B$621,"Rouge – hors programme")</f>
        <v/>
      </c>
      <c r="E26" s="25">
        <f>SUM(B26:D26)</f>
        <v/>
      </c>
    </row>
    <row r="27">
      <c r="A27" s="21" t="inlineStr">
        <is>
          <t>BCPST1 · Algèbre – Polynômes réels</t>
        </is>
      </c>
      <c r="B27" s="26">
        <f>COUNTIFS(Fiches!$D$2:$D$621,$A27,Fiches!$B$2:$B$621,"Noir – conforme")</f>
        <v/>
      </c>
      <c r="C27" s="27">
        <f>COUNTIFS(Fiches!$D$2:$D$621,$A27,Fiches!$B$2:$B$621,"Orange – incertain")</f>
        <v/>
      </c>
      <c r="D27" s="28">
        <f>COUNTIFS(Fiches!$D$2:$D$621,$A27,Fiches!$B$2:$B$621,"Rouge – hors programme")</f>
        <v/>
      </c>
      <c r="E27" s="25">
        <f>SUM(B27:D27)</f>
        <v/>
      </c>
    </row>
    <row r="28">
      <c r="A28" s="21" t="inlineStr">
        <is>
          <t>BCPST1 · Analyse 5 – Suites réelles</t>
        </is>
      </c>
      <c r="B28" s="26">
        <f>COUNTIFS(Fiches!$D$2:$D$621,$A28,Fiches!$B$2:$B$621,"Noir – conforme")</f>
        <v/>
      </c>
      <c r="C28" s="27">
        <f>COUNTIFS(Fiches!$D$2:$D$621,$A28,Fiches!$B$2:$B$621,"Orange – incertain")</f>
        <v/>
      </c>
      <c r="D28" s="28">
        <f>COUNTIFS(Fiches!$D$2:$D$621,$A28,Fiches!$B$2:$B$621,"Rouge – hors programme")</f>
        <v/>
      </c>
      <c r="E28" s="25">
        <f>SUM(B28:D28)</f>
        <v/>
      </c>
    </row>
    <row r="29">
      <c r="A29" s="21" t="inlineStr">
        <is>
          <t>BCPST1 · Analyse 6 – Limites, continuité</t>
        </is>
      </c>
      <c r="B29" s="26">
        <f>COUNTIFS(Fiches!$D$2:$D$621,$A29,Fiches!$B$2:$B$621,"Noir – conforme")</f>
        <v/>
      </c>
      <c r="C29" s="27">
        <f>COUNTIFS(Fiches!$D$2:$D$621,$A29,Fiches!$B$2:$B$621,"Orange – incertain")</f>
        <v/>
      </c>
      <c r="D29" s="28">
        <f>COUNTIFS(Fiches!$D$2:$D$621,$A29,Fiches!$B$2:$B$621,"Rouge – hors programme")</f>
        <v/>
      </c>
      <c r="E29" s="25">
        <f>SUM(B29:D29)</f>
        <v/>
      </c>
    </row>
    <row r="30">
      <c r="A30" s="21" t="inlineStr">
        <is>
          <t>BCPST1 · Analyse 7 – Dérivation</t>
        </is>
      </c>
      <c r="B30" s="26">
        <f>COUNTIFS(Fiches!$D$2:$D$621,$A30,Fiches!$B$2:$B$621,"Noir – conforme")</f>
        <v/>
      </c>
      <c r="C30" s="27">
        <f>COUNTIFS(Fiches!$D$2:$D$621,$A30,Fiches!$B$2:$B$621,"Orange – incertain")</f>
        <v/>
      </c>
      <c r="D30" s="28">
        <f>COUNTIFS(Fiches!$D$2:$D$621,$A30,Fiches!$B$2:$B$621,"Rouge – hors programme")</f>
        <v/>
      </c>
      <c r="E30" s="25">
        <f>SUM(B30:D30)</f>
        <v/>
      </c>
    </row>
    <row r="31">
      <c r="A31" s="21" t="inlineStr">
        <is>
          <t>BCPST1 · Analyse 8 – Intégration sur un segment</t>
        </is>
      </c>
      <c r="B31" s="26">
        <f>COUNTIFS(Fiches!$D$2:$D$621,$A31,Fiches!$B$2:$B$621,"Noir – conforme")</f>
        <v/>
      </c>
      <c r="C31" s="27">
        <f>COUNTIFS(Fiches!$D$2:$D$621,$A31,Fiches!$B$2:$B$621,"Orange – incertain")</f>
        <v/>
      </c>
      <c r="D31" s="28">
        <f>COUNTIFS(Fiches!$D$2:$D$621,$A31,Fiches!$B$2:$B$621,"Rouge – hors programme")</f>
        <v/>
      </c>
      <c r="E31" s="25">
        <f>SUM(B31:D31)</f>
        <v/>
      </c>
    </row>
    <row r="32">
      <c r="A32" s="21" t="inlineStr">
        <is>
          <t>BCPST1 · Analyse 9 – Développements limités</t>
        </is>
      </c>
      <c r="B32" s="26">
        <f>COUNTIFS(Fiches!$D$2:$D$621,$A32,Fiches!$B$2:$B$621,"Noir – conforme")</f>
        <v/>
      </c>
      <c r="C32" s="27">
        <f>COUNTIFS(Fiches!$D$2:$D$621,$A32,Fiches!$B$2:$B$621,"Orange – incertain")</f>
        <v/>
      </c>
      <c r="D32" s="28">
        <f>COUNTIFS(Fiches!$D$2:$D$621,$A32,Fiches!$B$2:$B$621,"Rouge – hors programme")</f>
        <v/>
      </c>
      <c r="E32" s="25">
        <f>SUM(B32:D32)</f>
        <v/>
      </c>
    </row>
    <row r="33">
      <c r="A33" s="21" t="inlineStr">
        <is>
          <t>BCPST1 · Analyse 10 – Fonctions de deux variables</t>
        </is>
      </c>
      <c r="B33" s="26">
        <f>COUNTIFS(Fiches!$D$2:$D$621,$A33,Fiches!$B$2:$B$621,"Noir – conforme")</f>
        <v/>
      </c>
      <c r="C33" s="27">
        <f>COUNTIFS(Fiches!$D$2:$D$621,$A33,Fiches!$B$2:$B$621,"Orange – incertain")</f>
        <v/>
      </c>
      <c r="D33" s="28">
        <f>COUNTIFS(Fiches!$D$2:$D$621,$A33,Fiches!$B$2:$B$621,"Rouge – hors programme")</f>
        <v/>
      </c>
      <c r="E33" s="25">
        <f>SUM(B33:D33)</f>
        <v/>
      </c>
    </row>
    <row r="34">
      <c r="A34" s="21" t="inlineStr">
        <is>
          <t>BCPST1 · Probabilités 1 – Concepts de base</t>
        </is>
      </c>
      <c r="B34" s="26">
        <f>COUNTIFS(Fiches!$D$2:$D$621,$A34,Fiches!$B$2:$B$621,"Noir – conforme")</f>
        <v/>
      </c>
      <c r="C34" s="27">
        <f>COUNTIFS(Fiches!$D$2:$D$621,$A34,Fiches!$B$2:$B$621,"Orange – incertain")</f>
        <v/>
      </c>
      <c r="D34" s="28">
        <f>COUNTIFS(Fiches!$D$2:$D$621,$A34,Fiches!$B$2:$B$621,"Rouge – hors programme")</f>
        <v/>
      </c>
      <c r="E34" s="25">
        <f>SUM(B34:D34)</f>
        <v/>
      </c>
    </row>
    <row r="35">
      <c r="A35" s="21" t="inlineStr">
        <is>
          <t>BCPST1 · Probabilités 2 – Variables sur un univers fini</t>
        </is>
      </c>
      <c r="B35" s="26">
        <f>COUNTIFS(Fiches!$D$2:$D$621,$A35,Fiches!$B$2:$B$621,"Noir – conforme")</f>
        <v/>
      </c>
      <c r="C35" s="27">
        <f>COUNTIFS(Fiches!$D$2:$D$621,$A35,Fiches!$B$2:$B$621,"Orange – incertain")</f>
        <v/>
      </c>
      <c r="D35" s="28">
        <f>COUNTIFS(Fiches!$D$2:$D$621,$A35,Fiches!$B$2:$B$621,"Rouge – hors programme")</f>
        <v/>
      </c>
      <c r="E35" s="25">
        <f>SUM(B35:D35)</f>
        <v/>
      </c>
    </row>
    <row r="36">
      <c r="A36" s="21" t="inlineStr">
        <is>
          <t>BCPST2 · Analyse 1 – Séries réelles</t>
        </is>
      </c>
      <c r="B36" s="26">
        <f>COUNTIFS(Fiches!$D$2:$D$621,$A36,Fiches!$B$2:$B$621,"Noir – conforme")</f>
        <v/>
      </c>
      <c r="C36" s="27">
        <f>COUNTIFS(Fiches!$D$2:$D$621,$A36,Fiches!$B$2:$B$621,"Orange – incertain")</f>
        <v/>
      </c>
      <c r="D36" s="28">
        <f>COUNTIFS(Fiches!$D$2:$D$621,$A36,Fiches!$B$2:$B$621,"Rouge – hors programme")</f>
        <v/>
      </c>
      <c r="E36" s="25">
        <f>SUM(B36:D36)</f>
        <v/>
      </c>
    </row>
    <row r="37">
      <c r="A37" s="21" t="inlineStr">
        <is>
          <t>BCPST2 · Analyse 2 – Intégrales généralisées</t>
        </is>
      </c>
      <c r="B37" s="26">
        <f>COUNTIFS(Fiches!$D$2:$D$621,$A37,Fiches!$B$2:$B$621,"Noir – conforme")</f>
        <v/>
      </c>
      <c r="C37" s="27">
        <f>COUNTIFS(Fiches!$D$2:$D$621,$A37,Fiches!$B$2:$B$621,"Orange – incertain")</f>
        <v/>
      </c>
      <c r="D37" s="28">
        <f>COUNTIFS(Fiches!$D$2:$D$621,$A37,Fiches!$B$2:$B$621,"Rouge – hors programme")</f>
        <v/>
      </c>
      <c r="E37" s="25">
        <f>SUM(B37:D37)</f>
        <v/>
      </c>
    </row>
    <row r="38">
      <c r="A38" s="21" t="inlineStr">
        <is>
          <t>BCPST2 · Algèbre – Polynômes</t>
        </is>
      </c>
      <c r="B38" s="26">
        <f>COUNTIFS(Fiches!$D$2:$D$621,$A38,Fiches!$B$2:$B$621,"Noir – conforme")</f>
        <v/>
      </c>
      <c r="C38" s="27">
        <f>COUNTIFS(Fiches!$D$2:$D$621,$A38,Fiches!$B$2:$B$621,"Orange – incertain")</f>
        <v/>
      </c>
      <c r="D38" s="28">
        <f>COUNTIFS(Fiches!$D$2:$D$621,$A38,Fiches!$B$2:$B$621,"Rouge – hors programme")</f>
        <v/>
      </c>
      <c r="E38" s="25">
        <f>SUM(B38:D38)</f>
        <v/>
      </c>
    </row>
    <row r="39">
      <c r="A39" s="21" t="inlineStr">
        <is>
          <t>BCPST2 · Algèbre linéaire 1 – Espaces vectoriels</t>
        </is>
      </c>
      <c r="B39" s="26">
        <f>COUNTIFS(Fiches!$D$2:$D$621,$A39,Fiches!$B$2:$B$621,"Noir – conforme")</f>
        <v/>
      </c>
      <c r="C39" s="27">
        <f>COUNTIFS(Fiches!$D$2:$D$621,$A39,Fiches!$B$2:$B$621,"Orange – incertain")</f>
        <v/>
      </c>
      <c r="D39" s="28">
        <f>COUNTIFS(Fiches!$D$2:$D$621,$A39,Fiches!$B$2:$B$621,"Rouge – hors programme")</f>
        <v/>
      </c>
      <c r="E39" s="25">
        <f>SUM(B39:D39)</f>
        <v/>
      </c>
    </row>
    <row r="40">
      <c r="A40" s="21" t="inlineStr">
        <is>
          <t>BCPST2 · Algèbre linéaire 2 – Applications linéaires et matrices</t>
        </is>
      </c>
      <c r="B40" s="26">
        <f>COUNTIFS(Fiches!$D$2:$D$621,$A40,Fiches!$B$2:$B$621,"Noir – conforme")</f>
        <v/>
      </c>
      <c r="C40" s="27">
        <f>COUNTIFS(Fiches!$D$2:$D$621,$A40,Fiches!$B$2:$B$621,"Orange – incertain")</f>
        <v/>
      </c>
      <c r="D40" s="28">
        <f>COUNTIFS(Fiches!$D$2:$D$621,$A40,Fiches!$B$2:$B$621,"Rouge – hors programme")</f>
        <v/>
      </c>
      <c r="E40" s="25">
        <f>SUM(B40:D40)</f>
        <v/>
      </c>
    </row>
    <row r="41">
      <c r="A41" s="21" t="inlineStr">
        <is>
          <t>BCPST2 · Algèbre linéaire 3 – Valeurs propres</t>
        </is>
      </c>
      <c r="B41" s="26">
        <f>COUNTIFS(Fiches!$D$2:$D$621,$A41,Fiches!$B$2:$B$621,"Noir – conforme")</f>
        <v/>
      </c>
      <c r="C41" s="27">
        <f>COUNTIFS(Fiches!$D$2:$D$621,$A41,Fiches!$B$2:$B$621,"Orange – incertain")</f>
        <v/>
      </c>
      <c r="D41" s="28">
        <f>COUNTIFS(Fiches!$D$2:$D$621,$A41,Fiches!$B$2:$B$621,"Rouge – hors programme")</f>
        <v/>
      </c>
      <c r="E41" s="25">
        <f>SUM(B41:D41)</f>
        <v/>
      </c>
    </row>
    <row r="42">
      <c r="A42" s="21" t="inlineStr">
        <is>
          <t>BCPST2 · Géométrie – Produit scalaire dans Rⁿ</t>
        </is>
      </c>
      <c r="B42" s="26">
        <f>COUNTIFS(Fiches!$D$2:$D$621,$A42,Fiches!$B$2:$B$621,"Noir – conforme")</f>
        <v/>
      </c>
      <c r="C42" s="27">
        <f>COUNTIFS(Fiches!$D$2:$D$621,$A42,Fiches!$B$2:$B$621,"Orange – incertain")</f>
        <v/>
      </c>
      <c r="D42" s="28">
        <f>COUNTIFS(Fiches!$D$2:$D$621,$A42,Fiches!$B$2:$B$621,"Rouge – hors programme")</f>
        <v/>
      </c>
      <c r="E42" s="25">
        <f>SUM(B42:D42)</f>
        <v/>
      </c>
    </row>
    <row r="43">
      <c r="A43" s="21" t="inlineStr">
        <is>
          <t>BCPST2 · Probabilités 1 – Concepts de base</t>
        </is>
      </c>
      <c r="B43" s="26">
        <f>COUNTIFS(Fiches!$D$2:$D$621,$A43,Fiches!$B$2:$B$621,"Noir – conforme")</f>
        <v/>
      </c>
      <c r="C43" s="27">
        <f>COUNTIFS(Fiches!$D$2:$D$621,$A43,Fiches!$B$2:$B$621,"Orange – incertain")</f>
        <v/>
      </c>
      <c r="D43" s="28">
        <f>COUNTIFS(Fiches!$D$2:$D$621,$A43,Fiches!$B$2:$B$621,"Rouge – hors programme")</f>
        <v/>
      </c>
      <c r="E43" s="25">
        <f>SUM(B43:D43)</f>
        <v/>
      </c>
    </row>
    <row r="44">
      <c r="A44" s="21" t="inlineStr">
        <is>
          <t>BCPST2 · Probabilités 2 – Variables discrètes</t>
        </is>
      </c>
      <c r="B44" s="26">
        <f>COUNTIFS(Fiches!$D$2:$D$621,$A44,Fiches!$B$2:$B$621,"Noir – conforme")</f>
        <v/>
      </c>
      <c r="C44" s="27">
        <f>COUNTIFS(Fiches!$D$2:$D$621,$A44,Fiches!$B$2:$B$621,"Orange – incertain")</f>
        <v/>
      </c>
      <c r="D44" s="28">
        <f>COUNTIFS(Fiches!$D$2:$D$621,$A44,Fiches!$B$2:$B$621,"Rouge – hors programme")</f>
        <v/>
      </c>
      <c r="E44" s="25">
        <f>SUM(B44:D44)</f>
        <v/>
      </c>
    </row>
    <row r="45">
      <c r="A45" s="21" t="inlineStr">
        <is>
          <t>BCPST2 · Probabilités 3 – Couples discrets</t>
        </is>
      </c>
      <c r="B45" s="26">
        <f>COUNTIFS(Fiches!$D$2:$D$621,$A45,Fiches!$B$2:$B$621,"Noir – conforme")</f>
        <v/>
      </c>
      <c r="C45" s="27">
        <f>COUNTIFS(Fiches!$D$2:$D$621,$A45,Fiches!$B$2:$B$621,"Orange – incertain")</f>
        <v/>
      </c>
      <c r="D45" s="28">
        <f>COUNTIFS(Fiches!$D$2:$D$621,$A45,Fiches!$B$2:$B$621,"Rouge – hors programme")</f>
        <v/>
      </c>
      <c r="E45" s="25">
        <f>SUM(B45:D45)</f>
        <v/>
      </c>
    </row>
    <row r="46">
      <c r="A46" s="21" t="inlineStr">
        <is>
          <t>BCPST2 · Probabilités 4 – Variables à densité</t>
        </is>
      </c>
      <c r="B46" s="26">
        <f>COUNTIFS(Fiches!$D$2:$D$621,$A46,Fiches!$B$2:$B$621,"Noir – conforme")</f>
        <v/>
      </c>
      <c r="C46" s="27">
        <f>COUNTIFS(Fiches!$D$2:$D$621,$A46,Fiches!$B$2:$B$621,"Orange – incertain")</f>
        <v/>
      </c>
      <c r="D46" s="28">
        <f>COUNTIFS(Fiches!$D$2:$D$621,$A46,Fiches!$B$2:$B$621,"Rouge – hors programme")</f>
        <v/>
      </c>
      <c r="E46" s="25">
        <f>SUM(B46:D46)</f>
        <v/>
      </c>
    </row>
    <row r="47">
      <c r="A47" s="21" t="inlineStr">
        <is>
          <t>BCPST2 · Probabilités 5 – Théorèmes limites</t>
        </is>
      </c>
      <c r="B47" s="26">
        <f>COUNTIFS(Fiches!$D$2:$D$621,$A47,Fiches!$B$2:$B$621,"Noir – conforme")</f>
        <v/>
      </c>
      <c r="C47" s="27">
        <f>COUNTIFS(Fiches!$D$2:$D$621,$A47,Fiches!$B$2:$B$621,"Orange – incertain")</f>
        <v/>
      </c>
      <c r="D47" s="28">
        <f>COUNTIFS(Fiches!$D$2:$D$621,$A47,Fiches!$B$2:$B$621,"Rouge – hors programme")</f>
        <v/>
      </c>
      <c r="E47" s="25">
        <f>SUM(B47:D47)</f>
        <v/>
      </c>
    </row>
    <row r="48">
      <c r="A48" s="21" t="inlineStr">
        <is>
          <t>Hors des chapitres du programme</t>
        </is>
      </c>
      <c r="B48" s="26">
        <f>COUNTIFS(Fiches!$D$2:$D$621,$A48,Fiches!$B$2:$B$621,"Noir – conforme")</f>
        <v/>
      </c>
      <c r="C48" s="27">
        <f>COUNTIFS(Fiches!$D$2:$D$621,$A48,Fiches!$B$2:$B$621,"Orange – incertain")</f>
        <v/>
      </c>
      <c r="D48" s="28">
        <f>COUNTIFS(Fiches!$D$2:$D$621,$A48,Fiches!$B$2:$B$621,"Rouge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2026-10-24T07:28:46Z</dcterms:modified>
</cp:coreProperties>
</file>