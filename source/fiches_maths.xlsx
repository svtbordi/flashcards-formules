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9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sheetData>
  <autoFilter ref="A1:N461"/>
  <dataValidations count="1">
    <dataValidation sqref="M2:M59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COUNTIF(Fiches!$B$2:$B$595,A4)</f>
        <v/>
      </c>
      <c r="C4" s="22">
        <f>IF($B$7=0,0,B4/$B$7)</f>
        <v/>
      </c>
    </row>
    <row r="5">
      <c r="A5" s="23" t="inlineStr">
        <is>
          <t>Orange – incertain</t>
        </is>
      </c>
      <c r="B5" s="21">
        <f>COUNTIF(Fiches!$B$2:$B$595,A5)</f>
        <v/>
      </c>
      <c r="C5" s="22">
        <f>IF($B$7=0,0,B5/$B$7)</f>
        <v/>
      </c>
    </row>
    <row r="6">
      <c r="A6" s="24" t="inlineStr">
        <is>
          <t>Rouge – hors programme</t>
        </is>
      </c>
      <c r="B6" s="21">
        <f>COUNTIF(Fiches!$B$2:$B$595,A6)</f>
        <v/>
      </c>
      <c r="C6" s="22">
        <f>IF($B$7=0,0,B6/$B$7)</f>
        <v/>
      </c>
    </row>
    <row r="7">
      <c r="A7" s="25" t="inlineStr">
        <is>
          <t>Total</t>
        </is>
      </c>
      <c r="B7" s="25">
        <f>SUM(B4:B6)</f>
        <v/>
      </c>
    </row>
    <row r="8"/>
    <row r="9">
      <c r="A9" s="25" t="inlineStr">
        <is>
          <t>Décisions saisies</t>
        </is>
      </c>
      <c r="B9" s="21">
        <f>COUNTA(Fiches!$M$2:$M$595)</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COUNTIFS(Fiches!$D$2:$D$595,$A13,Fiches!$B$2:$B$595,"Noir – conforme")</f>
        <v/>
      </c>
      <c r="C13" s="27">
        <f>COUNTIFS(Fiches!$D$2:$D$595,$A13,Fiches!$B$2:$B$595,"Orange – incertain")</f>
        <v/>
      </c>
      <c r="D13" s="28">
        <f>COUNTIFS(Fiches!$D$2:$D$595,$A13,Fiches!$B$2:$B$595,"Rouge – hors programme")</f>
        <v/>
      </c>
      <c r="E13" s="25">
        <f>SUM(B13:D13)</f>
        <v/>
      </c>
    </row>
    <row r="14">
      <c r="A14" s="21" t="inlineStr">
        <is>
          <t>BCPST1 · Outils 2 – Nombres réels</t>
        </is>
      </c>
      <c r="B14" s="26">
        <f>COUNTIFS(Fiches!$D$2:$D$595,$A14,Fiches!$B$2:$B$595,"Noir – conforme")</f>
        <v/>
      </c>
      <c r="C14" s="27">
        <f>COUNTIFS(Fiches!$D$2:$D$595,$A14,Fiches!$B$2:$B$595,"Orange – incertain")</f>
        <v/>
      </c>
      <c r="D14" s="28">
        <f>COUNTIFS(Fiches!$D$2:$D$595,$A14,Fiches!$B$2:$B$595,"Rouge – hors programme")</f>
        <v/>
      </c>
      <c r="E14" s="25">
        <f>SUM(B14:D14)</f>
        <v/>
      </c>
    </row>
    <row r="15">
      <c r="A15" s="21" t="inlineStr">
        <is>
          <t>BCPST1 · Outils 3 – Trigonométrie</t>
        </is>
      </c>
      <c r="B15" s="26">
        <f>COUNTIFS(Fiches!$D$2:$D$595,$A15,Fiches!$B$2:$B$595,"Noir – conforme")</f>
        <v/>
      </c>
      <c r="C15" s="27">
        <f>COUNTIFS(Fiches!$D$2:$D$595,$A15,Fiches!$B$2:$B$595,"Orange – incertain")</f>
        <v/>
      </c>
      <c r="D15" s="28">
        <f>COUNTIFS(Fiches!$D$2:$D$595,$A15,Fiches!$B$2:$B$595,"Rouge – hors programme")</f>
        <v/>
      </c>
      <c r="E15" s="25">
        <f>SUM(B15:D15)</f>
        <v/>
      </c>
    </row>
    <row r="16">
      <c r="A16" s="21" t="inlineStr">
        <is>
          <t>BCPST1 · Outils 4 – Nombres complexes</t>
        </is>
      </c>
      <c r="B16" s="26">
        <f>COUNTIFS(Fiches!$D$2:$D$595,$A16,Fiches!$B$2:$B$595,"Noir – conforme")</f>
        <v/>
      </c>
      <c r="C16" s="27">
        <f>COUNTIFS(Fiches!$D$2:$D$595,$A16,Fiches!$B$2:$B$595,"Orange – incertain")</f>
        <v/>
      </c>
      <c r="D16" s="28">
        <f>COUNTIFS(Fiches!$D$2:$D$595,$A16,Fiches!$B$2:$B$595,"Rouge – hors programme")</f>
        <v/>
      </c>
      <c r="E16" s="25">
        <f>SUM(B16:D16)</f>
        <v/>
      </c>
    </row>
    <row r="17">
      <c r="A17" s="21" t="inlineStr">
        <is>
          <t>BCPST1 · Outils 5 – Méthodes de calcul</t>
        </is>
      </c>
      <c r="B17" s="26">
        <f>COUNTIFS(Fiches!$D$2:$D$595,$A17,Fiches!$B$2:$B$595,"Noir – conforme")</f>
        <v/>
      </c>
      <c r="C17" s="27">
        <f>COUNTIFS(Fiches!$D$2:$D$595,$A17,Fiches!$B$2:$B$595,"Orange – incertain")</f>
        <v/>
      </c>
      <c r="D17" s="28">
        <f>COUNTIFS(Fiches!$D$2:$D$595,$A17,Fiches!$B$2:$B$595,"Rouge – hors programme")</f>
        <v/>
      </c>
      <c r="E17" s="25">
        <f>SUM(B17:D17)</f>
        <v/>
      </c>
    </row>
    <row r="18">
      <c r="A18" s="21" t="inlineStr">
        <is>
          <t>BCPST1 · Outils 6 – Vocabulaire des applications</t>
        </is>
      </c>
      <c r="B18" s="26">
        <f>COUNTIFS(Fiches!$D$2:$D$595,$A18,Fiches!$B$2:$B$595,"Noir – conforme")</f>
        <v/>
      </c>
      <c r="C18" s="27">
        <f>COUNTIFS(Fiches!$D$2:$D$595,$A18,Fiches!$B$2:$B$595,"Orange – incertain")</f>
        <v/>
      </c>
      <c r="D18" s="28">
        <f>COUNTIFS(Fiches!$D$2:$D$595,$A18,Fiches!$B$2:$B$595,"Rouge – hors programme")</f>
        <v/>
      </c>
      <c r="E18" s="25">
        <f>SUM(B18:D18)</f>
        <v/>
      </c>
    </row>
    <row r="19">
      <c r="A19" s="21" t="inlineStr">
        <is>
          <t>BCPST1 · Outils 7 – Dénombrement</t>
        </is>
      </c>
      <c r="B19" s="26">
        <f>COUNTIFS(Fiches!$D$2:$D$595,$A19,Fiches!$B$2:$B$595,"Noir – conforme")</f>
        <v/>
      </c>
      <c r="C19" s="27">
        <f>COUNTIFS(Fiches!$D$2:$D$595,$A19,Fiches!$B$2:$B$595,"Orange – incertain")</f>
        <v/>
      </c>
      <c r="D19" s="28">
        <f>COUNTIFS(Fiches!$D$2:$D$595,$A19,Fiches!$B$2:$B$595,"Rouge – hors programme")</f>
        <v/>
      </c>
      <c r="E19" s="25">
        <f>SUM(B19:D19)</f>
        <v/>
      </c>
    </row>
    <row r="20">
      <c r="A20" s="21" t="inlineStr">
        <is>
          <t>BCPST1 · Analyse 1 – Suites réelles usuelles</t>
        </is>
      </c>
      <c r="B20" s="26">
        <f>COUNTIFS(Fiches!$D$2:$D$595,$A20,Fiches!$B$2:$B$595,"Noir – conforme")</f>
        <v/>
      </c>
      <c r="C20" s="27">
        <f>COUNTIFS(Fiches!$D$2:$D$595,$A20,Fiches!$B$2:$B$595,"Orange – incertain")</f>
        <v/>
      </c>
      <c r="D20" s="28">
        <f>COUNTIFS(Fiches!$D$2:$D$595,$A20,Fiches!$B$2:$B$595,"Rouge – hors programme")</f>
        <v/>
      </c>
      <c r="E20" s="25">
        <f>SUM(B20:D20)</f>
        <v/>
      </c>
    </row>
    <row r="21">
      <c r="A21" s="21" t="inlineStr">
        <is>
          <t>BCPST1 · Analyse 2 – Fonctions réelles usuelles</t>
        </is>
      </c>
      <c r="B21" s="26">
        <f>COUNTIFS(Fiches!$D$2:$D$595,$A21,Fiches!$B$2:$B$595,"Noir – conforme")</f>
        <v/>
      </c>
      <c r="C21" s="27">
        <f>COUNTIFS(Fiches!$D$2:$D$595,$A21,Fiches!$B$2:$B$595,"Orange – incertain")</f>
        <v/>
      </c>
      <c r="D21" s="28">
        <f>COUNTIFS(Fiches!$D$2:$D$595,$A21,Fiches!$B$2:$B$595,"Rouge – hors programme")</f>
        <v/>
      </c>
      <c r="E21" s="25">
        <f>SUM(B21:D21)</f>
        <v/>
      </c>
    </row>
    <row r="22">
      <c r="A22" s="21" t="inlineStr">
        <is>
          <t>BCPST1 · Analyse 3 – Dérivées, primitives, intégrales</t>
        </is>
      </c>
      <c r="B22" s="26">
        <f>COUNTIFS(Fiches!$D$2:$D$595,$A22,Fiches!$B$2:$B$595,"Noir – conforme")</f>
        <v/>
      </c>
      <c r="C22" s="27">
        <f>COUNTIFS(Fiches!$D$2:$D$595,$A22,Fiches!$B$2:$B$595,"Orange – incertain")</f>
        <v/>
      </c>
      <c r="D22" s="28">
        <f>COUNTIFS(Fiches!$D$2:$D$595,$A22,Fiches!$B$2:$B$595,"Rouge – hors programme")</f>
        <v/>
      </c>
      <c r="E22" s="25">
        <f>SUM(B22:D22)</f>
        <v/>
      </c>
    </row>
    <row r="23">
      <c r="A23" s="21" t="inlineStr">
        <is>
          <t>BCPST1 · Analyse 4 – Équations différentielles linéaires</t>
        </is>
      </c>
      <c r="B23" s="26">
        <f>COUNTIFS(Fiches!$D$2:$D$595,$A23,Fiches!$B$2:$B$595,"Noir – conforme")</f>
        <v/>
      </c>
      <c r="C23" s="27">
        <f>COUNTIFS(Fiches!$D$2:$D$595,$A23,Fiches!$B$2:$B$595,"Orange – incertain")</f>
        <v/>
      </c>
      <c r="D23" s="28">
        <f>COUNTIFS(Fiches!$D$2:$D$595,$A23,Fiches!$B$2:$B$595,"Rouge – hors programme")</f>
        <v/>
      </c>
      <c r="E23" s="25">
        <f>SUM(B23:D23)</f>
        <v/>
      </c>
    </row>
    <row r="24">
      <c r="A24" s="21" t="inlineStr">
        <is>
          <t>BCPST1 · Algèbre linéaire 1 – Systèmes linéaires</t>
        </is>
      </c>
      <c r="B24" s="26">
        <f>COUNTIFS(Fiches!$D$2:$D$595,$A24,Fiches!$B$2:$B$595,"Noir – conforme")</f>
        <v/>
      </c>
      <c r="C24" s="27">
        <f>COUNTIFS(Fiches!$D$2:$D$595,$A24,Fiches!$B$2:$B$595,"Orange – incertain")</f>
        <v/>
      </c>
      <c r="D24" s="28">
        <f>COUNTIFS(Fiches!$D$2:$D$595,$A24,Fiches!$B$2:$B$595,"Rouge – hors programme")</f>
        <v/>
      </c>
      <c r="E24" s="25">
        <f>SUM(B24:D24)</f>
        <v/>
      </c>
    </row>
    <row r="25">
      <c r="A25" s="21" t="inlineStr">
        <is>
          <t>BCPST1 · Algèbre linéaire 2 – Matrices</t>
        </is>
      </c>
      <c r="B25" s="26">
        <f>COUNTIFS(Fiches!$D$2:$D$595,$A25,Fiches!$B$2:$B$595,"Noir – conforme")</f>
        <v/>
      </c>
      <c r="C25" s="27">
        <f>COUNTIFS(Fiches!$D$2:$D$595,$A25,Fiches!$B$2:$B$595,"Orange – incertain")</f>
        <v/>
      </c>
      <c r="D25" s="28">
        <f>COUNTIFS(Fiches!$D$2:$D$595,$A25,Fiches!$B$2:$B$595,"Rouge – hors programme")</f>
        <v/>
      </c>
      <c r="E25" s="25">
        <f>SUM(B25:D25)</f>
        <v/>
      </c>
    </row>
    <row r="26">
      <c r="A26" s="21" t="inlineStr">
        <is>
          <t>BCPST1 · Géométrie 1</t>
        </is>
      </c>
      <c r="B26" s="26">
        <f>COUNTIFS(Fiches!$D$2:$D$595,$A26,Fiches!$B$2:$B$595,"Noir – conforme")</f>
        <v/>
      </c>
      <c r="C26" s="27">
        <f>COUNTIFS(Fiches!$D$2:$D$595,$A26,Fiches!$B$2:$B$595,"Orange – incertain")</f>
        <v/>
      </c>
      <c r="D26" s="28">
        <f>COUNTIFS(Fiches!$D$2:$D$595,$A26,Fiches!$B$2:$B$595,"Rouge – hors programme")</f>
        <v/>
      </c>
      <c r="E26" s="25">
        <f>SUM(B26:D26)</f>
        <v/>
      </c>
    </row>
    <row r="27">
      <c r="A27" s="21" t="inlineStr">
        <is>
          <t>BCPST1 · Algèbre – Polynômes réels</t>
        </is>
      </c>
      <c r="B27" s="26">
        <f>COUNTIFS(Fiches!$D$2:$D$595,$A27,Fiches!$B$2:$B$595,"Noir – conforme")</f>
        <v/>
      </c>
      <c r="C27" s="27">
        <f>COUNTIFS(Fiches!$D$2:$D$595,$A27,Fiches!$B$2:$B$595,"Orange – incertain")</f>
        <v/>
      </c>
      <c r="D27" s="28">
        <f>COUNTIFS(Fiches!$D$2:$D$595,$A27,Fiches!$B$2:$B$595,"Rouge – hors programme")</f>
        <v/>
      </c>
      <c r="E27" s="25">
        <f>SUM(B27:D27)</f>
        <v/>
      </c>
    </row>
    <row r="28">
      <c r="A28" s="21" t="inlineStr">
        <is>
          <t>BCPST1 · Analyse 5 – Suites réelles</t>
        </is>
      </c>
      <c r="B28" s="26">
        <f>COUNTIFS(Fiches!$D$2:$D$595,$A28,Fiches!$B$2:$B$595,"Noir – conforme")</f>
        <v/>
      </c>
      <c r="C28" s="27">
        <f>COUNTIFS(Fiches!$D$2:$D$595,$A28,Fiches!$B$2:$B$595,"Orange – incertain")</f>
        <v/>
      </c>
      <c r="D28" s="28">
        <f>COUNTIFS(Fiches!$D$2:$D$595,$A28,Fiches!$B$2:$B$595,"Rouge – hors programme")</f>
        <v/>
      </c>
      <c r="E28" s="25">
        <f>SUM(B28:D28)</f>
        <v/>
      </c>
    </row>
    <row r="29">
      <c r="A29" s="21" t="inlineStr">
        <is>
          <t>BCPST1 · Analyse 6 – Limites, continuité</t>
        </is>
      </c>
      <c r="B29" s="26">
        <f>COUNTIFS(Fiches!$D$2:$D$595,$A29,Fiches!$B$2:$B$595,"Noir – conforme")</f>
        <v/>
      </c>
      <c r="C29" s="27">
        <f>COUNTIFS(Fiches!$D$2:$D$595,$A29,Fiches!$B$2:$B$595,"Orange – incertain")</f>
        <v/>
      </c>
      <c r="D29" s="28">
        <f>COUNTIFS(Fiches!$D$2:$D$595,$A29,Fiches!$B$2:$B$595,"Rouge – hors programme")</f>
        <v/>
      </c>
      <c r="E29" s="25">
        <f>SUM(B29:D29)</f>
        <v/>
      </c>
    </row>
    <row r="30">
      <c r="A30" s="21" t="inlineStr">
        <is>
          <t>BCPST1 · Analyse 7 – Dérivation</t>
        </is>
      </c>
      <c r="B30" s="26">
        <f>COUNTIFS(Fiches!$D$2:$D$595,$A30,Fiches!$B$2:$B$595,"Noir – conforme")</f>
        <v/>
      </c>
      <c r="C30" s="27">
        <f>COUNTIFS(Fiches!$D$2:$D$595,$A30,Fiches!$B$2:$B$595,"Orange – incertain")</f>
        <v/>
      </c>
      <c r="D30" s="28">
        <f>COUNTIFS(Fiches!$D$2:$D$595,$A30,Fiches!$B$2:$B$595,"Rouge – hors programme")</f>
        <v/>
      </c>
      <c r="E30" s="25">
        <f>SUM(B30:D30)</f>
        <v/>
      </c>
    </row>
    <row r="31">
      <c r="A31" s="21" t="inlineStr">
        <is>
          <t>BCPST1 · Analyse 8 – Intégration sur un segment</t>
        </is>
      </c>
      <c r="B31" s="26">
        <f>COUNTIFS(Fiches!$D$2:$D$595,$A31,Fiches!$B$2:$B$595,"Noir – conforme")</f>
        <v/>
      </c>
      <c r="C31" s="27">
        <f>COUNTIFS(Fiches!$D$2:$D$595,$A31,Fiches!$B$2:$B$595,"Orange – incertain")</f>
        <v/>
      </c>
      <c r="D31" s="28">
        <f>COUNTIFS(Fiches!$D$2:$D$595,$A31,Fiches!$B$2:$B$595,"Rouge – hors programme")</f>
        <v/>
      </c>
      <c r="E31" s="25">
        <f>SUM(B31:D31)</f>
        <v/>
      </c>
    </row>
    <row r="32">
      <c r="A32" s="21" t="inlineStr">
        <is>
          <t>BCPST1 · Analyse 9 – Développements limités</t>
        </is>
      </c>
      <c r="B32" s="26">
        <f>COUNTIFS(Fiches!$D$2:$D$595,$A32,Fiches!$B$2:$B$595,"Noir – conforme")</f>
        <v/>
      </c>
      <c r="C32" s="27">
        <f>COUNTIFS(Fiches!$D$2:$D$595,$A32,Fiches!$B$2:$B$595,"Orange – incertain")</f>
        <v/>
      </c>
      <c r="D32" s="28">
        <f>COUNTIFS(Fiches!$D$2:$D$595,$A32,Fiches!$B$2:$B$595,"Rouge – hors programme")</f>
        <v/>
      </c>
      <c r="E32" s="25">
        <f>SUM(B32:D32)</f>
        <v/>
      </c>
    </row>
    <row r="33">
      <c r="A33" s="21" t="inlineStr">
        <is>
          <t>BCPST1 · Analyse 10 – Fonctions de deux variables</t>
        </is>
      </c>
      <c r="B33" s="26">
        <f>COUNTIFS(Fiches!$D$2:$D$595,$A33,Fiches!$B$2:$B$595,"Noir – conforme")</f>
        <v/>
      </c>
      <c r="C33" s="27">
        <f>COUNTIFS(Fiches!$D$2:$D$595,$A33,Fiches!$B$2:$B$595,"Orange – incertain")</f>
        <v/>
      </c>
      <c r="D33" s="28">
        <f>COUNTIFS(Fiches!$D$2:$D$595,$A33,Fiches!$B$2:$B$595,"Rouge – hors programme")</f>
        <v/>
      </c>
      <c r="E33" s="25">
        <f>SUM(B33:D33)</f>
        <v/>
      </c>
    </row>
    <row r="34">
      <c r="A34" s="21" t="inlineStr">
        <is>
          <t>BCPST1 · Probabilités 1 – Concepts de base</t>
        </is>
      </c>
      <c r="B34" s="26">
        <f>COUNTIFS(Fiches!$D$2:$D$595,$A34,Fiches!$B$2:$B$595,"Noir – conforme")</f>
        <v/>
      </c>
      <c r="C34" s="27">
        <f>COUNTIFS(Fiches!$D$2:$D$595,$A34,Fiches!$B$2:$B$595,"Orange – incertain")</f>
        <v/>
      </c>
      <c r="D34" s="28">
        <f>COUNTIFS(Fiches!$D$2:$D$595,$A34,Fiches!$B$2:$B$595,"Rouge – hors programme")</f>
        <v/>
      </c>
      <c r="E34" s="25">
        <f>SUM(B34:D34)</f>
        <v/>
      </c>
    </row>
    <row r="35">
      <c r="A35" s="21" t="inlineStr">
        <is>
          <t>BCPST1 · Probabilités 2 – Variables sur un univers fini</t>
        </is>
      </c>
      <c r="B35" s="26">
        <f>COUNTIFS(Fiches!$D$2:$D$595,$A35,Fiches!$B$2:$B$595,"Noir – conforme")</f>
        <v/>
      </c>
      <c r="C35" s="27">
        <f>COUNTIFS(Fiches!$D$2:$D$595,$A35,Fiches!$B$2:$B$595,"Orange – incertain")</f>
        <v/>
      </c>
      <c r="D35" s="28">
        <f>COUNTIFS(Fiches!$D$2:$D$595,$A35,Fiches!$B$2:$B$595,"Rouge – hors programme")</f>
        <v/>
      </c>
      <c r="E35" s="25">
        <f>SUM(B35:D35)</f>
        <v/>
      </c>
    </row>
    <row r="36">
      <c r="A36" s="21" t="inlineStr">
        <is>
          <t>BCPST2 · Analyse 1 – Séries réelles</t>
        </is>
      </c>
      <c r="B36" s="26">
        <f>COUNTIFS(Fiches!$D$2:$D$595,$A36,Fiches!$B$2:$B$595,"Noir – conforme")</f>
        <v/>
      </c>
      <c r="C36" s="27">
        <f>COUNTIFS(Fiches!$D$2:$D$595,$A36,Fiches!$B$2:$B$595,"Orange – incertain")</f>
        <v/>
      </c>
      <c r="D36" s="28">
        <f>COUNTIFS(Fiches!$D$2:$D$595,$A36,Fiches!$B$2:$B$595,"Rouge – hors programme")</f>
        <v/>
      </c>
      <c r="E36" s="25">
        <f>SUM(B36:D36)</f>
        <v/>
      </c>
    </row>
    <row r="37">
      <c r="A37" s="21" t="inlineStr">
        <is>
          <t>BCPST2 · Analyse 2 – Intégrales généralisées</t>
        </is>
      </c>
      <c r="B37" s="26">
        <f>COUNTIFS(Fiches!$D$2:$D$595,$A37,Fiches!$B$2:$B$595,"Noir – conforme")</f>
        <v/>
      </c>
      <c r="C37" s="27">
        <f>COUNTIFS(Fiches!$D$2:$D$595,$A37,Fiches!$B$2:$B$595,"Orange – incertain")</f>
        <v/>
      </c>
      <c r="D37" s="28">
        <f>COUNTIFS(Fiches!$D$2:$D$595,$A37,Fiches!$B$2:$B$595,"Rouge – hors programme")</f>
        <v/>
      </c>
      <c r="E37" s="25">
        <f>SUM(B37:D37)</f>
        <v/>
      </c>
    </row>
    <row r="38">
      <c r="A38" s="21" t="inlineStr">
        <is>
          <t>BCPST2 · Algèbre – Polynômes</t>
        </is>
      </c>
      <c r="B38" s="26">
        <f>COUNTIFS(Fiches!$D$2:$D$595,$A38,Fiches!$B$2:$B$595,"Noir – conforme")</f>
        <v/>
      </c>
      <c r="C38" s="27">
        <f>COUNTIFS(Fiches!$D$2:$D$595,$A38,Fiches!$B$2:$B$595,"Orange – incertain")</f>
        <v/>
      </c>
      <c r="D38" s="28">
        <f>COUNTIFS(Fiches!$D$2:$D$595,$A38,Fiches!$B$2:$B$595,"Rouge – hors programme")</f>
        <v/>
      </c>
      <c r="E38" s="25">
        <f>SUM(B38:D38)</f>
        <v/>
      </c>
    </row>
    <row r="39">
      <c r="A39" s="21" t="inlineStr">
        <is>
          <t>BCPST2 · Algèbre linéaire 1 – Espaces vectoriels</t>
        </is>
      </c>
      <c r="B39" s="26">
        <f>COUNTIFS(Fiches!$D$2:$D$595,$A39,Fiches!$B$2:$B$595,"Noir – conforme")</f>
        <v/>
      </c>
      <c r="C39" s="27">
        <f>COUNTIFS(Fiches!$D$2:$D$595,$A39,Fiches!$B$2:$B$595,"Orange – incertain")</f>
        <v/>
      </c>
      <c r="D39" s="28">
        <f>COUNTIFS(Fiches!$D$2:$D$595,$A39,Fiches!$B$2:$B$595,"Rouge – hors programme")</f>
        <v/>
      </c>
      <c r="E39" s="25">
        <f>SUM(B39:D39)</f>
        <v/>
      </c>
    </row>
    <row r="40">
      <c r="A40" s="21" t="inlineStr">
        <is>
          <t>BCPST2 · Algèbre linéaire 2 – Applications linéaires et matrices</t>
        </is>
      </c>
      <c r="B40" s="26">
        <f>COUNTIFS(Fiches!$D$2:$D$595,$A40,Fiches!$B$2:$B$595,"Noir – conforme")</f>
        <v/>
      </c>
      <c r="C40" s="27">
        <f>COUNTIFS(Fiches!$D$2:$D$595,$A40,Fiches!$B$2:$B$595,"Orange – incertain")</f>
        <v/>
      </c>
      <c r="D40" s="28">
        <f>COUNTIFS(Fiches!$D$2:$D$595,$A40,Fiches!$B$2:$B$595,"Rouge – hors programme")</f>
        <v/>
      </c>
      <c r="E40" s="25">
        <f>SUM(B40:D40)</f>
        <v/>
      </c>
    </row>
    <row r="41">
      <c r="A41" s="21" t="inlineStr">
        <is>
          <t>BCPST2 · Algèbre linéaire 3 – Valeurs propres</t>
        </is>
      </c>
      <c r="B41" s="26">
        <f>COUNTIFS(Fiches!$D$2:$D$595,$A41,Fiches!$B$2:$B$595,"Noir – conforme")</f>
        <v/>
      </c>
      <c r="C41" s="27">
        <f>COUNTIFS(Fiches!$D$2:$D$595,$A41,Fiches!$B$2:$B$595,"Orange – incertain")</f>
        <v/>
      </c>
      <c r="D41" s="28">
        <f>COUNTIFS(Fiches!$D$2:$D$595,$A41,Fiches!$B$2:$B$595,"Rouge – hors programme")</f>
        <v/>
      </c>
      <c r="E41" s="25">
        <f>SUM(B41:D41)</f>
        <v/>
      </c>
    </row>
    <row r="42">
      <c r="A42" s="21" t="inlineStr">
        <is>
          <t>BCPST2 · Géométrie – Produit scalaire dans Rⁿ</t>
        </is>
      </c>
      <c r="B42" s="26">
        <f>COUNTIFS(Fiches!$D$2:$D$595,$A42,Fiches!$B$2:$B$595,"Noir – conforme")</f>
        <v/>
      </c>
      <c r="C42" s="27">
        <f>COUNTIFS(Fiches!$D$2:$D$595,$A42,Fiches!$B$2:$B$595,"Orange – incertain")</f>
        <v/>
      </c>
      <c r="D42" s="28">
        <f>COUNTIFS(Fiches!$D$2:$D$595,$A42,Fiches!$B$2:$B$595,"Rouge – hors programme")</f>
        <v/>
      </c>
      <c r="E42" s="25">
        <f>SUM(B42:D42)</f>
        <v/>
      </c>
    </row>
    <row r="43">
      <c r="A43" s="21" t="inlineStr">
        <is>
          <t>BCPST2 · Probabilités 1 – Concepts de base</t>
        </is>
      </c>
      <c r="B43" s="26">
        <f>COUNTIFS(Fiches!$D$2:$D$595,$A43,Fiches!$B$2:$B$595,"Noir – conforme")</f>
        <v/>
      </c>
      <c r="C43" s="27">
        <f>COUNTIFS(Fiches!$D$2:$D$595,$A43,Fiches!$B$2:$B$595,"Orange – incertain")</f>
        <v/>
      </c>
      <c r="D43" s="28">
        <f>COUNTIFS(Fiches!$D$2:$D$595,$A43,Fiches!$B$2:$B$595,"Rouge – hors programme")</f>
        <v/>
      </c>
      <c r="E43" s="25">
        <f>SUM(B43:D43)</f>
        <v/>
      </c>
    </row>
    <row r="44">
      <c r="A44" s="21" t="inlineStr">
        <is>
          <t>BCPST2 · Probabilités 2 – Variables discrètes</t>
        </is>
      </c>
      <c r="B44" s="26">
        <f>COUNTIFS(Fiches!$D$2:$D$595,$A44,Fiches!$B$2:$B$595,"Noir – conforme")</f>
        <v/>
      </c>
      <c r="C44" s="27">
        <f>COUNTIFS(Fiches!$D$2:$D$595,$A44,Fiches!$B$2:$B$595,"Orange – incertain")</f>
        <v/>
      </c>
      <c r="D44" s="28">
        <f>COUNTIFS(Fiches!$D$2:$D$595,$A44,Fiches!$B$2:$B$595,"Rouge – hors programme")</f>
        <v/>
      </c>
      <c r="E44" s="25">
        <f>SUM(B44:D44)</f>
        <v/>
      </c>
    </row>
    <row r="45">
      <c r="A45" s="21" t="inlineStr">
        <is>
          <t>BCPST2 · Probabilités 3 – Couples discrets</t>
        </is>
      </c>
      <c r="B45" s="26">
        <f>COUNTIFS(Fiches!$D$2:$D$595,$A45,Fiches!$B$2:$B$595,"Noir – conforme")</f>
        <v/>
      </c>
      <c r="C45" s="27">
        <f>COUNTIFS(Fiches!$D$2:$D$595,$A45,Fiches!$B$2:$B$595,"Orange – incertain")</f>
        <v/>
      </c>
      <c r="D45" s="28">
        <f>COUNTIFS(Fiches!$D$2:$D$595,$A45,Fiches!$B$2:$B$595,"Rouge – hors programme")</f>
        <v/>
      </c>
      <c r="E45" s="25">
        <f>SUM(B45:D45)</f>
        <v/>
      </c>
    </row>
    <row r="46">
      <c r="A46" s="21" t="inlineStr">
        <is>
          <t>BCPST2 · Probabilités 4 – Variables à densité</t>
        </is>
      </c>
      <c r="B46" s="26">
        <f>COUNTIFS(Fiches!$D$2:$D$595,$A46,Fiches!$B$2:$B$595,"Noir – conforme")</f>
        <v/>
      </c>
      <c r="C46" s="27">
        <f>COUNTIFS(Fiches!$D$2:$D$595,$A46,Fiches!$B$2:$B$595,"Orange – incertain")</f>
        <v/>
      </c>
      <c r="D46" s="28">
        <f>COUNTIFS(Fiches!$D$2:$D$595,$A46,Fiches!$B$2:$B$595,"Rouge – hors programme")</f>
        <v/>
      </c>
      <c r="E46" s="25">
        <f>SUM(B46:D46)</f>
        <v/>
      </c>
    </row>
    <row r="47">
      <c r="A47" s="21" t="inlineStr">
        <is>
          <t>BCPST2 · Probabilités 5 – Théorèmes limites</t>
        </is>
      </c>
      <c r="B47" s="26">
        <f>COUNTIFS(Fiches!$D$2:$D$595,$A47,Fiches!$B$2:$B$595,"Noir – conforme")</f>
        <v/>
      </c>
      <c r="C47" s="27">
        <f>COUNTIFS(Fiches!$D$2:$D$595,$A47,Fiches!$B$2:$B$595,"Orange – incertain")</f>
        <v/>
      </c>
      <c r="D47" s="28">
        <f>COUNTIFS(Fiches!$D$2:$D$595,$A47,Fiches!$B$2:$B$595,"Rouge – hors programme")</f>
        <v/>
      </c>
      <c r="E47" s="25">
        <f>SUM(B47:D47)</f>
        <v/>
      </c>
    </row>
    <row r="48">
      <c r="A48" s="21" t="inlineStr">
        <is>
          <t>Hors des chapitres du programme</t>
        </is>
      </c>
      <c r="B48" s="26">
        <f>COUNTIFS(Fiches!$D$2:$D$595,$A48,Fiches!$B$2:$B$595,"Noir – conforme")</f>
        <v/>
      </c>
      <c r="C48" s="27">
        <f>COUNTIFS(Fiches!$D$2:$D$595,$A48,Fiches!$B$2:$B$595,"Orange – incertain")</f>
        <v/>
      </c>
      <c r="D48" s="28">
        <f>COUNTIFS(Fiches!$D$2:$D$595,$A48,Fiches!$B$2:$B$595,"Rouge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2026-10-23T20:09:02Z</dcterms:modified>
</cp:coreProperties>
</file>