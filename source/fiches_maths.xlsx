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Fiches" sheetId="2" state="visible" r:id="rId2"/>
    <sheet xmlns:r="http://schemas.openxmlformats.org/officeDocument/2006/relationships" name="Formulaire" sheetId="3" state="visible" r:id="rId3"/>
    <sheet xmlns:r="http://schemas.openxmlformats.org/officeDocument/2006/relationships" name="Synthèse" sheetId="4" state="visible" r:id="rId4"/>
    <sheet xmlns:r="http://schemas.openxmlformats.org/officeDocument/2006/relationships" name="Erreurs ouvrage" sheetId="5" state="visible" r:id="rId5"/>
  </sheets>
  <definedNames>
    <definedName name="_xlnm._FilterDatabase" localSheetId="1" hidden="1">'Fiches'!$A$1:$L$461</definedName>
    <definedName name="_xlnm._FilterDatabase" localSheetId="2" hidden="1">'Formulaire'!$A$1:$K$60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1F3A5F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D97706"/>
      <sz val="10"/>
    </font>
    <font>
      <name val="Arial"/>
      <color rgb="00DC2626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D97706"/>
      <sz val="10"/>
    </font>
    <font>
      <name val="Arial"/>
      <b val="1"/>
      <color rgb="00DC2626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B3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2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Flashcards de mathématiques BCPST – tableur source de l'application</t>
        </is>
      </c>
    </row>
    <row r="2">
      <c r="A2" s="2" t="inlineStr">
        <is>
          <t>Ce fichier alimente l'application : après modification, le déposer sur GitHub dans source/ (même nom). Ne jamais changer un ID : il porte la progression des élèves.</t>
        </is>
      </c>
    </row>
    <row r="3">
      <c r="A3" s="3" t="inlineStr">
        <is>
          <t>Source des fiches : captures de l'ouvrage Dunod (pages 1 à 104, partie mathématiques). Référence : programme officiel BCPST 2021 (PDF, Annexe 3).</t>
        </is>
      </c>
    </row>
    <row r="4">
      <c r="A4" s="3" t="inlineStr"/>
    </row>
    <row r="5">
      <c r="A5" s="4" t="inlineStr">
        <is>
          <t>Code couleur (couleur du texte de chaque ligne de l'onglet Fiches)</t>
        </is>
      </c>
    </row>
    <row r="6">
      <c r="A6" s="5" t="inlineStr">
        <is>
          <t>Noir : contenu explicitement au programme (citation dans la colonne Justification). Détails annexes éventuels signalés en Remarque.</t>
        </is>
      </c>
    </row>
    <row r="7">
      <c r="A7" s="6" t="inlineStr">
        <is>
          <t>Orange : programme muet ou ambigu, ou contenu au programme mais explicitement fourni dans les énoncés (inutile à mémoriser).</t>
        </is>
      </c>
    </row>
    <row r="8">
      <c r="A8" s="7" t="inlineStr">
        <is>
          <t>Rouge : explicitement exclu par le programme (« hors programme », « pas un attendu », « non exigible », « aucune formule n'est à connaître »).</t>
        </is>
      </c>
    </row>
    <row r="9">
      <c r="A9" s="3" t="inlineStr"/>
    </row>
    <row r="10">
      <c r="A10" s="4" t="inlineStr">
        <is>
          <t>Ce que tu as à faire</t>
        </is>
      </c>
    </row>
    <row r="11">
      <c r="A11" s="3" t="inlineStr">
        <is>
          <t>1. Onglet Fiches : lire la colonne Justification (citation du programme) et vérifier que le statut te convient.</t>
        </is>
      </c>
    </row>
    <row r="12">
      <c r="A12" s="3" t="inlineStr">
        <is>
          <t>2. Colonne « Ta décision » (fond jaune) : choisir dans la liste. Laisser vide = d'accord avec ma proposition.</t>
        </is>
      </c>
    </row>
    <row r="13">
      <c r="A13" s="3" t="inlineStr">
        <is>
          <t>3. Colonne « Ton commentaire » : correction de contenu, reformulation, etc.</t>
        </is>
      </c>
    </row>
    <row r="14">
      <c r="A14" s="3" t="inlineStr">
        <is>
          <t>4. Onglet Formulaire : pages 98 à 104 de l'ouvrage, une égalité par carte (recto = membre de gauche, verso = membre de droite). Mêmes colonnes de décision. Les fiches de l'onglet Fiches citées en « Fiche d'origine » ne sont pas reprises dans le jeu principal.</t>
        </is>
      </c>
    </row>
    <row r="15">
      <c r="A15" s="3" t="inlineStr">
        <is>
          <t>5. Dans l'application : les fiches rouges et « Supprimer » sont écartées ; « Passer en … » remplace le statut ; les orange sont affichées avec la mention « à confirmer ».</t>
        </is>
      </c>
    </row>
    <row r="16">
      <c r="A16" s="3" t="inlineStr">
        <is>
          <t>6. Onglet Erreurs ouvrage : erreurs mathématiques repérées dans l'ouvrage et corrigées dans les fiches. À vérifier en priorité.</t>
        </is>
      </c>
    </row>
    <row r="17">
      <c r="A17" s="3" t="inlineStr"/>
    </row>
    <row r="18">
      <c r="A18" s="4" t="inlineStr">
        <is>
          <t>Règles appliquées</t>
        </is>
      </c>
    </row>
    <row r="19">
      <c r="A19" s="3" t="inlineStr">
        <is>
          <t>• Recto = intitulé du cadre bleu de l'ouvrage. Quand un cadre n'avait pas de titre (tableaux des annexes) ou un titre erroné, l'intitulé est signalé en Remarque.</t>
        </is>
      </c>
    </row>
    <row r="20">
      <c r="A20" s="3" t="inlineStr">
        <is>
          <t>• Verso = contenu reformulé en notation standard (LaTeX entre $…$), pas recopié mot à mot.</t>
        </is>
      </c>
    </row>
    <row r="21">
      <c r="A21" s="3" t="inlineStr">
        <is>
          <t>• Cadres mêlant contenu au programme et hors programme : scindés en deux fiches (signalé en Remarque).</t>
        </is>
      </c>
    </row>
    <row r="22">
      <c r="A22" s="3" t="inlineStr">
        <is>
          <t>• Partie du programme : chapitre du programme officiel où la notion figure (BCPST1 ou BCPST2). « Hors des chapitres du programme » = notion absente.</t>
        </is>
      </c>
    </row>
    <row r="23">
      <c r="A23" s="3" t="inlineStr">
        <is>
          <t>• Les fiches sont triées dans l'ordre du programme ; la colonne Page renvoie à l'ouvrage.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9" customWidth="1" min="3" max="3"/>
    <col width="34" customWidth="1" min="4" max="4"/>
    <col width="12" customWidth="1" min="5" max="5"/>
    <col width="34" customWidth="1" min="6" max="6"/>
    <col width="60" customWidth="1" min="7" max="7"/>
    <col width="60" customWidth="1" min="8" max="8"/>
    <col width="8" customWidth="1" min="9" max="9"/>
    <col width="40" customWidth="1" min="10" max="10"/>
    <col width="20" customWidth="1" min="11" max="11"/>
    <col width="30" customWidth="1" min="12" max="12"/>
  </cols>
  <sheetData>
    <row r="1">
      <c r="A1" s="8" t="inlineStr">
        <is>
          <t>ID</t>
        </is>
      </c>
      <c r="B1" s="8" t="inlineStr">
        <is>
          <t>Statut</t>
        </is>
      </c>
      <c r="C1" s="8" t="inlineStr">
        <is>
          <t>Année</t>
        </is>
      </c>
      <c r="D1" s="8" t="inlineStr">
        <is>
          <t>Partie du programme</t>
        </is>
      </c>
      <c r="E1" s="8" t="inlineStr">
        <is>
          <t>Type</t>
        </is>
      </c>
      <c r="F1" s="8" t="inlineStr">
        <is>
          <t>Intitulé (recto)</t>
        </is>
      </c>
      <c r="G1" s="8" t="inlineStr">
        <is>
          <t>Contenu (verso)</t>
        </is>
      </c>
      <c r="H1" s="8" t="inlineStr">
        <is>
          <t>Justification (programme 2021)</t>
        </is>
      </c>
      <c r="I1" s="8" t="inlineStr">
        <is>
          <t>Page ouvrage</t>
        </is>
      </c>
      <c r="J1" s="8" t="inlineStr">
        <is>
          <t>Remarque</t>
        </is>
      </c>
      <c r="K1" s="8" t="inlineStr">
        <is>
          <t>Ta décision</t>
        </is>
      </c>
      <c r="L1" s="8" t="inlineStr">
        <is>
          <t>Ton commentaire</t>
        </is>
      </c>
    </row>
    <row r="2">
      <c r="A2" s="9" t="inlineStr">
        <is>
          <t>M001</t>
        </is>
      </c>
      <c r="B2" s="10" t="inlineStr">
        <is>
          <t>Noir – conforme</t>
        </is>
      </c>
      <c r="C2" s="9" t="inlineStr">
        <is>
          <t>BCPST1</t>
        </is>
      </c>
      <c r="D2" s="9" t="inlineStr">
        <is>
          <t>BCPST1 · Outils 1 – Logique, ensembles</t>
        </is>
      </c>
      <c r="E2" s="9" t="inlineStr">
        <is>
          <t>Définition</t>
        </is>
      </c>
      <c r="F2" s="10" t="inlineStr">
        <is>
          <t>Inclusion d'ensembles – Définition</t>
        </is>
      </c>
      <c r="G2" s="9" t="inlineStr">
        <is>
          <t>$A\subset B$ si $x\in A\Rightarrow x\in B$.</t>
        </is>
      </c>
      <c r="H2" s="9" t="inlineStr">
        <is>
          <t>« Sous-ensemble (ou partie), inclusion. »</t>
        </is>
      </c>
      <c r="I2" s="9" t="n">
        <v>71</v>
      </c>
      <c r="J2" s="9" t="inlineStr"/>
      <c r="K2" s="11" t="n"/>
      <c r="L2" s="11" t="n"/>
    </row>
    <row r="3">
      <c r="A3" s="9" t="inlineStr">
        <is>
          <t>M002</t>
        </is>
      </c>
      <c r="B3" s="10" t="inlineStr">
        <is>
          <t>Noir – conforme</t>
        </is>
      </c>
      <c r="C3" s="9" t="inlineStr">
        <is>
          <t>BCPST1</t>
        </is>
      </c>
      <c r="D3" s="9" t="inlineStr">
        <is>
          <t>BCPST1 · Outils 1 – Logique, ensembles</t>
        </is>
      </c>
      <c r="E3" s="9" t="inlineStr">
        <is>
          <t>Définition</t>
        </is>
      </c>
      <c r="F3" s="10" t="inlineStr">
        <is>
          <t>Opérations sur les ensembles – Définition</t>
        </is>
      </c>
      <c r="G3" s="9" t="inlineStr">
        <is>
          <t>Union $A\cup B$, intersection $A\cap B$, différence $B\setminus A$ ; complémentaire $\bar A=\Omega\setminus A$.</t>
        </is>
      </c>
      <c r="H3" s="9" t="inlineStr">
        <is>
          <t>« Réunion. Intersection. Complémentaire. »</t>
        </is>
      </c>
      <c r="I3" s="9" t="n">
        <v>72</v>
      </c>
      <c r="J3" s="9" t="inlineStr"/>
      <c r="K3" s="11" t="n"/>
      <c r="L3" s="11" t="n"/>
    </row>
    <row r="4">
      <c r="A4" s="9" t="inlineStr">
        <is>
          <t>M003</t>
        </is>
      </c>
      <c r="B4" s="10" t="inlineStr">
        <is>
          <t>Noir – conforme</t>
        </is>
      </c>
      <c r="C4" s="9" t="inlineStr">
        <is>
          <t>BCPST1</t>
        </is>
      </c>
      <c r="D4" s="9" t="inlineStr">
        <is>
          <t>BCPST1 · Outils 1 – Logique, ensembles</t>
        </is>
      </c>
      <c r="E4" s="9" t="inlineStr">
        <is>
          <t>Propriété</t>
        </is>
      </c>
      <c r="F4" s="10" t="inlineStr">
        <is>
          <t>Opérations sur les ensembles – Règles de calcul</t>
        </is>
      </c>
      <c r="G4" s="9" t="inlineStr">
        <is>
          <t>Commutativité ; distributivité de $\cup$ sur $\cap$ et réciproquement ; lois de De Morgan : $\overline{A\cup B}=\bar A\cap\bar B$, $\overline{A\cap B}=\bar A\cup\bar B$ (et pour une famille).</t>
        </is>
      </c>
      <c r="H4" s="9" t="inlineStr">
        <is>
          <t>« Complémentaire d'une union et d'une intersection, distributivité de ∪ sur ∩ et de ∩ sur ∪. On se limite aux unions et intersections finies. » (BCPST2 : ∪Aₙ et ∩Aₙ dénombrables)</t>
        </is>
      </c>
      <c r="I4" s="9" t="n">
        <v>72</v>
      </c>
      <c r="J4" s="9" t="inlineStr"/>
      <c r="K4" s="11" t="n"/>
      <c r="L4" s="11" t="n"/>
    </row>
    <row r="5">
      <c r="A5" s="9" t="inlineStr">
        <is>
          <t>M004</t>
        </is>
      </c>
      <c r="B5" s="10" t="inlineStr">
        <is>
          <t>Noir – conforme</t>
        </is>
      </c>
      <c r="C5" s="9" t="inlineStr">
        <is>
          <t>BCPST1</t>
        </is>
      </c>
      <c r="D5" s="9" t="inlineStr">
        <is>
          <t>BCPST1 · Outils 1 – Logique, ensembles</t>
        </is>
      </c>
      <c r="E5" s="9" t="inlineStr">
        <is>
          <t>Définition</t>
        </is>
      </c>
      <c r="F5" s="10" t="inlineStr">
        <is>
          <t>Produits cartésiens d'ensembles – Définition</t>
        </is>
      </c>
      <c r="G5" s="9" t="inlineStr">
        <is>
          <t>$A\times B$ : ensemble des couples $(x,y)$, $x\in A$, $y\in B$ ; $A_1\times\dots\times A_n$ : ensemble des $n$-uplets ; $E^n=E\times\dots\times E$.</t>
        </is>
      </c>
      <c r="H5" s="9" t="inlineStr">
        <is>
          <t>« Couple, p-uplet. Produit cartésien. »</t>
        </is>
      </c>
      <c r="I5" s="9" t="n">
        <v>73</v>
      </c>
      <c r="J5" s="9" t="inlineStr"/>
      <c r="K5" s="11" t="n"/>
      <c r="L5" s="11" t="n"/>
    </row>
    <row r="6">
      <c r="A6" s="12" t="inlineStr">
        <is>
          <t>M005</t>
        </is>
      </c>
      <c r="B6" s="13" t="inlineStr">
        <is>
          <t>Orange – incertain</t>
        </is>
      </c>
      <c r="C6" s="12" t="inlineStr">
        <is>
          <t>BCPST1</t>
        </is>
      </c>
      <c r="D6" s="12" t="inlineStr">
        <is>
          <t>BCPST1 · Outils 2 – Nombres réels</t>
        </is>
      </c>
      <c r="E6" s="12" t="inlineStr">
        <is>
          <t>Propriété</t>
        </is>
      </c>
      <c r="F6" s="13" t="inlineStr">
        <is>
          <t>ℚ est dense</t>
        </is>
      </c>
      <c r="G6" s="12" t="inlineStr">
        <is>
          <t>Pour tous réels $x&lt;y$, il existe un rationnel $z$ tel que $x&lt;z&lt;y$.</t>
        </is>
      </c>
      <c r="H6" s="12" t="inlineStr">
        <is>
          <t>« Les ensembles N, Z, Q et R sont supposés connus. » La densité de Q n'est pas mentionnée.</t>
        </is>
      </c>
      <c r="I6" s="12" t="n">
        <v>3</v>
      </c>
      <c r="J6" s="12" t="inlineStr"/>
      <c r="K6" s="14" t="n"/>
      <c r="L6" s="14" t="n"/>
    </row>
    <row r="7">
      <c r="A7" s="9" t="inlineStr">
        <is>
          <t>M006</t>
        </is>
      </c>
      <c r="B7" s="10" t="inlineStr">
        <is>
          <t>Noir – conforme</t>
        </is>
      </c>
      <c r="C7" s="9" t="inlineStr">
        <is>
          <t>BCPST1</t>
        </is>
      </c>
      <c r="D7" s="9" t="inlineStr">
        <is>
          <t>BCPST1 · Outils 2 – Nombres réels</t>
        </is>
      </c>
      <c r="E7" s="9" t="inlineStr">
        <is>
          <t>Propriété</t>
        </is>
      </c>
      <c r="F7" s="10" t="inlineStr">
        <is>
          <t>Présentation (ordre et borne supérieure)</t>
        </is>
      </c>
      <c r="G7" s="9" t="inlineStr">
        <is>
          <t>$a\le b\Rightarrow a+c\le b+c$ ; $a\le b$ et $c\ge0\Rightarrow ac\le bc$. Toute partie non vide majorée de $\mathbb R$ admet une borne supérieure.</t>
        </is>
      </c>
      <c r="H7" s="9" t="inlineStr">
        <is>
          <t>« Manipulation des inégalités … On admet l'existence de la borne supérieure d'une partie majorée non vide. »</t>
        </is>
      </c>
      <c r="I7" s="9" t="n">
        <v>18</v>
      </c>
      <c r="J7" s="9" t="inlineStr"/>
      <c r="K7" s="11" t="n"/>
      <c r="L7" s="11" t="n"/>
    </row>
    <row r="8">
      <c r="A8" s="9" t="inlineStr">
        <is>
          <t>M007</t>
        </is>
      </c>
      <c r="B8" s="10" t="inlineStr">
        <is>
          <t>Noir – conforme</t>
        </is>
      </c>
      <c r="C8" s="9" t="inlineStr">
        <is>
          <t>BCPST1</t>
        </is>
      </c>
      <c r="D8" s="9" t="inlineStr">
        <is>
          <t>BCPST1 · Outils 2 – Nombres réels</t>
        </is>
      </c>
      <c r="E8" s="9" t="inlineStr">
        <is>
          <t>Définition</t>
        </is>
      </c>
      <c r="F8" s="10" t="inlineStr">
        <is>
          <t>Partie entière – Définition</t>
        </is>
      </c>
      <c r="G8" s="9" t="inlineStr">
        <is>
          <t>$E(x)=\lfloor x\rfloor$ est l'unique entier tel que $E(x)\le x&lt;E(x)+1$.</t>
        </is>
      </c>
      <c r="H8" s="9" t="inlineStr">
        <is>
          <t>« Partie entière … notation ⌊·⌋ ».</t>
        </is>
      </c>
      <c r="I8" s="9" t="n">
        <v>18</v>
      </c>
      <c r="J8" s="9" t="inlineStr"/>
      <c r="K8" s="11" t="n"/>
      <c r="L8" s="11" t="n"/>
    </row>
    <row r="9">
      <c r="A9" s="9" t="inlineStr">
        <is>
          <t>M008</t>
        </is>
      </c>
      <c r="B9" s="10" t="inlineStr">
        <is>
          <t>Noir – conforme</t>
        </is>
      </c>
      <c r="C9" s="9" t="inlineStr">
        <is>
          <t>BCPST1</t>
        </is>
      </c>
      <c r="D9" s="9" t="inlineStr">
        <is>
          <t>BCPST1 · Outils 3 – Trigonométrie</t>
        </is>
      </c>
      <c r="E9" s="9" t="inlineStr">
        <is>
          <t>Propriété</t>
        </is>
      </c>
      <c r="F9" s="10" t="inlineStr">
        <is>
          <t>Factorisation de a cos θ + b sin θ</t>
        </is>
      </c>
      <c r="G9" s="9" t="inlineStr">
        <is>
          <t>$a\cos\theta+b\sin\theta=r\cos(\theta+\varphi)$ avec $r=\sqrt{a^2+b^2}$, $\cos\varphi=\frac ar$, $\sin\varphi=-\frac br$ (forme du programme).</t>
        </is>
      </c>
      <c r="H9" s="9" t="inlineStr">
        <is>
          <t>« Transformation de a cos(θ) + b sin(θ) en r cos(θ + ϕ). La méthode … n'est pas imposée. »</t>
        </is>
      </c>
      <c r="I9" s="9" t="n">
        <v>21</v>
      </c>
      <c r="J9" s="9" t="inlineStr">
        <is>
          <t>ERREUR DANS L'OUVRAGE : il écrit $r\cos(\theta+\varphi)$ avec $\sin\varphi=b/r$ ; avec cette convention il faut $\sin\varphi=-b/r$ (ou bien $r\cos(\theta-\varphi)$). Corrigé ici dans la forme du programme</t>
        </is>
      </c>
      <c r="K9" s="11" t="n"/>
      <c r="L9" s="11" t="n"/>
    </row>
    <row r="10">
      <c r="A10" s="12" t="inlineStr">
        <is>
          <t>M009</t>
        </is>
      </c>
      <c r="B10" s="13" t="inlineStr">
        <is>
          <t>Orange – incertain</t>
        </is>
      </c>
      <c r="C10" s="12" t="inlineStr">
        <is>
          <t>BCPST1</t>
        </is>
      </c>
      <c r="D10" s="12" t="inlineStr">
        <is>
          <t>BCPST1 · Outils 3 – Trigonométrie</t>
        </is>
      </c>
      <c r="E10" s="12" t="inlineStr">
        <is>
          <t>Propriété</t>
        </is>
      </c>
      <c r="F10" s="13" t="inlineStr">
        <is>
          <t>Fonctions Arcsin et Arccos et leurs dérivées</t>
        </is>
      </c>
      <c r="G10" s="12" t="inlineStr">
        <is>
          <t>$\arcsin:[-1,1]\to[-\frac\pi2,\frac\pi2]$, $\arcsin'(x)=\frac1{\sqrt{1-x^2}}$ ; $\arccos:[-1,1]\to[0,\pi]$, $\arccos'(x)=-\frac1{\sqrt{1-x^2}}$ (sur $]-1,1[$).</t>
        </is>
      </c>
      <c r="H10" s="12" t="inlineStr">
        <is>
          <t>Notations arccos, arcsin introduites (solutions d'équations), mais « La construction des fonctions arccosinus et arcsinus n'est pas un attendu du programme » ; leurs dérivées ne sont pas citées.</t>
        </is>
      </c>
      <c r="I10" s="12" t="n">
        <v>31</v>
      </c>
      <c r="J10" s="12" t="inlineStr">
        <is>
          <t>Fiche détachée d'un cadre de l'ouvrage (contenu partiellement hors programme)</t>
        </is>
      </c>
      <c r="K10" s="14" t="n"/>
      <c r="L10" s="14" t="n"/>
    </row>
    <row r="11">
      <c r="A11" s="9" t="inlineStr">
        <is>
          <t>M010</t>
        </is>
      </c>
      <c r="B11" s="10" t="inlineStr">
        <is>
          <t>Noir – conforme</t>
        </is>
      </c>
      <c r="C11" s="9" t="inlineStr">
        <is>
          <t>BCPST1</t>
        </is>
      </c>
      <c r="D11" s="9" t="inlineStr">
        <is>
          <t>BCPST1 · Outils 3 – Trigonométrie</t>
        </is>
      </c>
      <c r="E11" s="9" t="inlineStr">
        <is>
          <t>Formulaire</t>
        </is>
      </c>
      <c r="F11" s="10" t="inlineStr">
        <is>
          <t>Valeurs remarquables de sin, cos, tan</t>
        </is>
      </c>
      <c r="G11" s="9" t="inlineStr">
        <is>
          <t>En $0,\frac\pi6,\frac\pi4,\frac\pi3,\frac\pi2,\pi$ : $\sin$ : $0,\frac12,\frac{\sqrt2}2,\frac{\sqrt3}2,1,0$ ; $\cos$ : $1,\frac{\sqrt3}2,\frac{\sqrt2}2,\frac12,0,-1$ ; $\tan$ : $0,\frac{\sqrt3}3,1,\sqrt3,\text{non défini},0$.</t>
        </is>
      </c>
      <c r="H11" s="9" t="inlineStr">
        <is>
          <t>« Définition de cos(θ), sin(θ) et tan(θ). Périodicité et symétries. »</t>
        </is>
      </c>
      <c r="I11" s="9" t="n">
        <v>102</v>
      </c>
      <c r="J11" s="9" t="inlineStr">
        <is>
          <t>Tableau (pas de cadre titré) : intitulé créé par moi</t>
        </is>
      </c>
      <c r="K11" s="11" t="n"/>
      <c r="L11" s="11" t="n"/>
    </row>
    <row r="12">
      <c r="A12" s="9" t="inlineStr">
        <is>
          <t>M011</t>
        </is>
      </c>
      <c r="B12" s="10" t="inlineStr">
        <is>
          <t>Noir – conforme</t>
        </is>
      </c>
      <c r="C12" s="9" t="inlineStr">
        <is>
          <t>BCPST1</t>
        </is>
      </c>
      <c r="D12" s="9" t="inlineStr">
        <is>
          <t>BCPST1 · Outils 3 – Trigonométrie</t>
        </is>
      </c>
      <c r="E12" s="9" t="inlineStr">
        <is>
          <t>Formulaire</t>
        </is>
      </c>
      <c r="F12" s="10" t="inlineStr">
        <is>
          <t>Relations entre les rapports trigonométriques d'un même arc</t>
        </is>
      </c>
      <c r="G12" s="9" t="inlineStr">
        <is>
          <t>$\cos^2a+\sin^2a=1$ ; $\tan a=\frac{\sin a}{\cos a}$ ; $1+\tan^2a=\frac1{\cos^2a}$.</t>
        </is>
      </c>
      <c r="H12" s="9" t="inlineStr">
        <is>
          <t>« cos²(θ) + sin²(θ) = 1 » ; A2 : « tan' = 1 + tan² = 1/cos² ». (formules en cot : fiche séparée, hors programme)</t>
        </is>
      </c>
      <c r="I12" s="9" t="n">
        <v>102</v>
      </c>
      <c r="J12" s="9" t="inlineStr">
        <is>
          <t>Formules avec la cotangente placées dans une fiche séparée</t>
        </is>
      </c>
      <c r="K12" s="11" t="n"/>
      <c r="L12" s="11" t="n"/>
    </row>
    <row r="13">
      <c r="A13" s="15" t="inlineStr">
        <is>
          <t>M012</t>
        </is>
      </c>
      <c r="B13" s="16" t="inlineStr">
        <is>
          <t>Rouge – hors programme</t>
        </is>
      </c>
      <c r="C13" s="15" t="inlineStr">
        <is>
          <t>BCPST1</t>
        </is>
      </c>
      <c r="D13" s="15" t="inlineStr">
        <is>
          <t>BCPST1 · Outils 3 – Trigonométrie</t>
        </is>
      </c>
      <c r="E13" s="15" t="inlineStr">
        <is>
          <t>Formulaire</t>
        </is>
      </c>
      <c r="F13" s="16" t="inlineStr">
        <is>
          <t>Relations avec la cotangente</t>
        </is>
      </c>
      <c r="G13" s="15" t="inlineStr">
        <is>
          <t>$\cot a=\frac{\cos a}{\sin a}$ ; $1+\cot^2a=\frac1{\sin^2a}$ ; $\cos^2a=\frac1{1+\tan^2a}$ ; $\sin^2a=\frac1{1+\cot^2a}$.</t>
        </is>
      </c>
      <c r="H13" s="15" t="inlineStr">
        <is>
          <t>« Les autres formules de trigonométrie ne sont pas des attendus du programme. »</t>
        </is>
      </c>
      <c r="I13" s="15" t="n">
        <v>102</v>
      </c>
      <c r="J13" s="15" t="inlineStr">
        <is>
          <t>Fiche détachée d'un cadre de l'ouvrage (contenu partiellement hors programme)</t>
        </is>
      </c>
      <c r="K13" s="17" t="n"/>
      <c r="L13" s="17" t="n"/>
    </row>
    <row r="14">
      <c r="A14" s="9" t="inlineStr">
        <is>
          <t>M013</t>
        </is>
      </c>
      <c r="B14" s="10" t="inlineStr">
        <is>
          <t>Noir – conforme</t>
        </is>
      </c>
      <c r="C14" s="9" t="inlineStr">
        <is>
          <t>BCPST1</t>
        </is>
      </c>
      <c r="D14" s="9" t="inlineStr">
        <is>
          <t>BCPST1 · Outils 3 – Trigonométrie</t>
        </is>
      </c>
      <c r="E14" s="9" t="inlineStr">
        <is>
          <t>Formulaire</t>
        </is>
      </c>
      <c r="F14" s="10" t="inlineStr">
        <is>
          <t>Formules d'addition</t>
        </is>
      </c>
      <c r="G14" s="9" t="inlineStr">
        <is>
          <t>$\cos(a\pm b)=\cos a\cos b\mp\sin a\sin b$ ; $\sin(a\pm b)=\sin a\cos b\pm\cos a\sin b$.</t>
        </is>
      </c>
      <c r="H14" s="9" t="inlineStr">
        <is>
          <t>« cos(α ± β) = cos α cos β ∓ sin α sin β ; sin(α ± β) = sin α cos β ± cos α sin β ». (tan(a ± b) : fiche séparée)</t>
        </is>
      </c>
      <c r="I14" s="9" t="n">
        <v>102</v>
      </c>
      <c r="J14" s="9" t="inlineStr">
        <is>
          <t>tan(a ± b) placée dans une fiche séparée</t>
        </is>
      </c>
      <c r="K14" s="11" t="n"/>
      <c r="L14" s="11" t="n"/>
    </row>
    <row r="15">
      <c r="A15" s="15" t="inlineStr">
        <is>
          <t>M014</t>
        </is>
      </c>
      <c r="B15" s="16" t="inlineStr">
        <is>
          <t>Rouge – hors programme</t>
        </is>
      </c>
      <c r="C15" s="15" t="inlineStr">
        <is>
          <t>BCPST1</t>
        </is>
      </c>
      <c r="D15" s="15" t="inlineStr">
        <is>
          <t>BCPST1 · Outils 3 – Trigonométrie</t>
        </is>
      </c>
      <c r="E15" s="15" t="inlineStr">
        <is>
          <t>Formulaire</t>
        </is>
      </c>
      <c r="F15" s="16" t="inlineStr">
        <is>
          <t>Formule d'addition de la tangente</t>
        </is>
      </c>
      <c r="G15" s="15" t="inlineStr">
        <is>
          <t>$\tan(a\pm b)=\dfrac{\tan a\pm\tan b}{1\mp\tan a\tan b}$.</t>
        </is>
      </c>
      <c r="H15" s="15" t="inlineStr">
        <is>
          <t>« Les autres formules de trigonométrie ne sont pas des attendus du programme. »</t>
        </is>
      </c>
      <c r="I15" s="15" t="n">
        <v>102</v>
      </c>
      <c r="J15" s="15" t="inlineStr">
        <is>
          <t>Fiche détachée d'un cadre de l'ouvrage (contenu partiellement hors programme)</t>
        </is>
      </c>
      <c r="K15" s="17" t="n"/>
      <c r="L15" s="17" t="n"/>
    </row>
    <row r="16">
      <c r="A16" s="9" t="inlineStr">
        <is>
          <t>M015</t>
        </is>
      </c>
      <c r="B16" s="10" t="inlineStr">
        <is>
          <t>Noir – conforme</t>
        </is>
      </c>
      <c r="C16" s="9" t="inlineStr">
        <is>
          <t>BCPST1</t>
        </is>
      </c>
      <c r="D16" s="9" t="inlineStr">
        <is>
          <t>BCPST1 · Outils 3 – Trigonométrie</t>
        </is>
      </c>
      <c r="E16" s="9" t="inlineStr">
        <is>
          <t>Formulaire</t>
        </is>
      </c>
      <c r="F16" s="10" t="inlineStr">
        <is>
          <t>Formules de duplication</t>
        </is>
      </c>
      <c r="G16" s="9" t="inlineStr">
        <is>
          <t>$\cos2a=\cos^2a-\sin^2a=2\cos^2a-1=1-2\sin^2a$ ; $\sin2a=2\sin a\cos a$.</t>
        </is>
      </c>
      <c r="H16" s="9" t="inlineStr">
        <is>
          <t>« cos(2θ) = cos² θ − sin² θ = 2cos² θ − 1 = 1 − 2sin² θ ; sin(2θ) = 2 sin θ cos θ ». (tan 2a : fiche séparée)</t>
        </is>
      </c>
      <c r="I16" s="9" t="n">
        <v>102</v>
      </c>
      <c r="J16" s="9" t="inlineStr">
        <is>
          <t>tan 2a placée dans une fiche séparée</t>
        </is>
      </c>
      <c r="K16" s="11" t="n"/>
      <c r="L16" s="11" t="n"/>
    </row>
    <row r="17">
      <c r="A17" s="15" t="inlineStr">
        <is>
          <t>M016</t>
        </is>
      </c>
      <c r="B17" s="16" t="inlineStr">
        <is>
          <t>Rouge – hors programme</t>
        </is>
      </c>
      <c r="C17" s="15" t="inlineStr">
        <is>
          <t>BCPST1</t>
        </is>
      </c>
      <c r="D17" s="15" t="inlineStr">
        <is>
          <t>BCPST1 · Outils 3 – Trigonométrie</t>
        </is>
      </c>
      <c r="E17" s="15" t="inlineStr">
        <is>
          <t>Formulaire</t>
        </is>
      </c>
      <c r="F17" s="16" t="inlineStr">
        <is>
          <t>Duplication de la tangente</t>
        </is>
      </c>
      <c r="G17" s="15" t="inlineStr">
        <is>
          <t>$\tan2a=\dfrac{2\tan a}{1-\tan^2a}$.</t>
        </is>
      </c>
      <c r="H17" s="15" t="inlineStr">
        <is>
          <t>« Les autres formules de trigonométrie ne sont pas des attendus du programme. »</t>
        </is>
      </c>
      <c r="I17" s="15" t="n">
        <v>102</v>
      </c>
      <c r="J17" s="15" t="inlineStr">
        <is>
          <t>Fiche détachée d'un cadre de l'ouvrage (contenu partiellement hors programme)</t>
        </is>
      </c>
      <c r="K17" s="17" t="n"/>
      <c r="L17" s="17" t="n"/>
    </row>
    <row r="18">
      <c r="A18" s="15" t="inlineStr">
        <is>
          <t>M017</t>
        </is>
      </c>
      <c r="B18" s="16" t="inlineStr">
        <is>
          <t>Rouge – hors programme</t>
        </is>
      </c>
      <c r="C18" s="15" t="inlineStr">
        <is>
          <t>BCPST1</t>
        </is>
      </c>
      <c r="D18" s="15" t="inlineStr">
        <is>
          <t>BCPST1 · Outils 3 – Trigonométrie</t>
        </is>
      </c>
      <c r="E18" s="15" t="inlineStr">
        <is>
          <t>Formulaire</t>
        </is>
      </c>
      <c r="F18" s="16" t="inlineStr">
        <is>
          <t>Expression de cos a, sin a, tan a en fonction de tan(a/2)</t>
        </is>
      </c>
      <c r="G18" s="15" t="inlineStr">
        <is>
          <t>Avec $t=\tan\frac a2$ : $\cos a=\frac{1-t^2}{1+t^2}$, $\sin a=\frac{2t}{1+t^2}$, $\tan a=\frac{2t}{1-t^2}$.</t>
        </is>
      </c>
      <c r="H18" s="15" t="inlineStr">
        <is>
          <t>« Les autres formules de trigonométrie ne sont pas des attendus du programme. »</t>
        </is>
      </c>
      <c r="I18" s="15" t="n">
        <v>103</v>
      </c>
      <c r="J18" s="15" t="inlineStr"/>
      <c r="K18" s="17" t="n"/>
      <c r="L18" s="17" t="n"/>
    </row>
    <row r="19">
      <c r="A19" s="15" t="inlineStr">
        <is>
          <t>M018</t>
        </is>
      </c>
      <c r="B19" s="16" t="inlineStr">
        <is>
          <t>Rouge – hors programme</t>
        </is>
      </c>
      <c r="C19" s="15" t="inlineStr">
        <is>
          <t>BCPST1</t>
        </is>
      </c>
      <c r="D19" s="15" t="inlineStr">
        <is>
          <t>BCPST1 · Outils 3 – Trigonométrie</t>
        </is>
      </c>
      <c r="E19" s="15" t="inlineStr">
        <is>
          <t>Formulaire</t>
        </is>
      </c>
      <c r="F19" s="16" t="inlineStr">
        <is>
          <t>Transformation de produits en sommes (linéarisation)</t>
        </is>
      </c>
      <c r="G19" s="15" t="inlineStr">
        <is>
          <t>$\cos a\cos b=\frac12[\cos(a-b)+\cos(a+b)]$ ; $\sin a\sin b=\frac12[\cos(a-b)-\cos(a+b)]$ ; $\sin a\cos b=\frac12[\sin(a+b)+\sin(a-b)]$ ; $\cos^2a=\frac{1+\cos2a}2$ ; $\sin^2a=\frac{1-\cos2a}2$.</t>
        </is>
      </c>
      <c r="H19" s="15" t="inlineStr">
        <is>
          <t>« Les autres formules de trigonométrie ne sont pas des attendus du programme. » La linéarisation de cos^p sin^q se fait par les formules d'Euler, « l'énoncé devra l'indiquer ». NB : cos² a = (1 + cos 2a)/2 se déduit directement de la formule de duplication, qui est au programme.</t>
        </is>
      </c>
      <c r="I19" s="15" t="n">
        <v>103</v>
      </c>
      <c r="J19" s="15" t="inlineStr"/>
      <c r="K19" s="17" t="n"/>
      <c r="L19" s="17" t="n"/>
    </row>
    <row r="20">
      <c r="A20" s="15" t="inlineStr">
        <is>
          <t>M019</t>
        </is>
      </c>
      <c r="B20" s="16" t="inlineStr">
        <is>
          <t>Rouge – hors programme</t>
        </is>
      </c>
      <c r="C20" s="15" t="inlineStr">
        <is>
          <t>BCPST1</t>
        </is>
      </c>
      <c r="D20" s="15" t="inlineStr">
        <is>
          <t>BCPST1 · Outils 3 – Trigonométrie</t>
        </is>
      </c>
      <c r="E20" s="15" t="inlineStr">
        <is>
          <t>Formulaire</t>
        </is>
      </c>
      <c r="F20" s="16" t="inlineStr">
        <is>
          <t>Transformation de sommes en produits</t>
        </is>
      </c>
      <c r="G20" s="15" t="inlineStr">
        <is>
          <t>$\cos p+\cos q=2\cos\frac{p+q}2\cos\frac{p-q}2$ ; $\cos p-\cos q=-2\sin\frac{p+q}2\sin\frac{p-q}2$ ; $\sin p+\sin q=2\sin\frac{p+q}2\cos\frac{p-q}2$ ; $\sin p-\sin q=2\sin\frac{p-q}2\cos\frac{p+q}2$.</t>
        </is>
      </c>
      <c r="H20" s="15" t="inlineStr">
        <is>
          <t>« Les autres formules de trigonométrie ne sont pas des attendus du programme. »</t>
        </is>
      </c>
      <c r="I20" s="15" t="n">
        <v>103</v>
      </c>
      <c r="J20" s="15" t="inlineStr"/>
      <c r="K20" s="17" t="n"/>
      <c r="L20" s="17" t="n"/>
    </row>
    <row r="21">
      <c r="A21" s="9" t="inlineStr">
        <is>
          <t>M020</t>
        </is>
      </c>
      <c r="B21" s="10" t="inlineStr">
        <is>
          <t>Noir – conforme</t>
        </is>
      </c>
      <c r="C21" s="9" t="inlineStr">
        <is>
          <t>BCPST1</t>
        </is>
      </c>
      <c r="D21" s="9" t="inlineStr">
        <is>
          <t>BCPST1 · Outils 3 – Trigonométrie</t>
        </is>
      </c>
      <c r="E21" s="9" t="inlineStr">
        <is>
          <t>Formulaire</t>
        </is>
      </c>
      <c r="F21" s="10" t="inlineStr">
        <is>
          <t>Arcs associés</t>
        </is>
      </c>
      <c r="G21" s="9" t="inlineStr">
        <is>
          <t>$\cos(-a)=\cos a$, $\sin(-a)=-\sin a$ ; $\cos(\pi\pm a)=-\cos a$ ; $\sin(\pi-a)=\sin a$, $\sin(\pi+a)=-\sin a$ ; $\cos(\frac\pi2-a)=\sin a$, $\sin(\frac\pi2-a)=\cos a$ ; $\cos(\frac\pi2+a)=-\sin a$, $\sin(\frac\pi2+a)=\cos a$ ; $\tan(\pi+a)=\tan a$, $\tan(-a)=-\tan a$.</t>
        </is>
      </c>
      <c r="H21" s="9" t="inlineStr">
        <is>
          <t>« Formules découlant des symétries de cos, sin et tan. » (les formules en cot de l'ouvrage ont été retirées)</t>
        </is>
      </c>
      <c r="I21" s="9" t="n">
        <v>104</v>
      </c>
      <c r="J21" s="9" t="inlineStr">
        <is>
          <t>Formules en cot de l'ouvrage retirées (« autres formules … pas des attendus »)</t>
        </is>
      </c>
      <c r="K21" s="11" t="n"/>
      <c r="L21" s="11" t="n"/>
    </row>
    <row r="22">
      <c r="A22" s="9" t="inlineStr">
        <is>
          <t>M021</t>
        </is>
      </c>
      <c r="B22" s="10" t="inlineStr">
        <is>
          <t>Noir – conforme</t>
        </is>
      </c>
      <c r="C22" s="9" t="inlineStr">
        <is>
          <t>BCPST1</t>
        </is>
      </c>
      <c r="D22" s="9" t="inlineStr">
        <is>
          <t>BCPST1 · Outils 4 – Nombres complexes</t>
        </is>
      </c>
      <c r="E22" s="9" t="inlineStr">
        <is>
          <t>Définition</t>
        </is>
      </c>
      <c r="F22" s="10" t="inlineStr">
        <is>
          <t>Forme cartésienne / Forme polaire d'un nombre complexe</t>
        </is>
      </c>
      <c r="G22" s="9" t="inlineStr">
        <is>
          <t>$z=a+ib$ avec $a=\mathrm{Re}(z)$, $b=\mathrm{Im}(z)$ ; si $z\neq0$, $z=\rho e^{i\theta}$ avec $\rho=|z|&gt;0$ et $\theta$ un argument de $z$.</t>
        </is>
      </c>
      <c r="H22" s="9" t="inlineStr">
        <is>
          <t>« Écriture algébrique … Écriture exponentielle d'un nombre complexe non nul. »</t>
        </is>
      </c>
      <c r="I22" s="9" t="n">
        <v>19</v>
      </c>
      <c r="J22" s="9" t="inlineStr"/>
      <c r="K22" s="11" t="n"/>
      <c r="L22" s="11" t="n"/>
    </row>
    <row r="23">
      <c r="A23" s="9" t="inlineStr">
        <is>
          <t>M022</t>
        </is>
      </c>
      <c r="B23" s="10" t="inlineStr">
        <is>
          <t>Noir – conforme</t>
        </is>
      </c>
      <c r="C23" s="9" t="inlineStr">
        <is>
          <t>BCPST1</t>
        </is>
      </c>
      <c r="D23" s="9" t="inlineStr">
        <is>
          <t>BCPST1 · Outils 4 – Nombres complexes</t>
        </is>
      </c>
      <c r="E23" s="9" t="inlineStr">
        <is>
          <t>Définition</t>
        </is>
      </c>
      <c r="F23" s="10" t="inlineStr">
        <is>
          <t>Nombre complexe conjugué – Définition</t>
        </is>
      </c>
      <c r="G23" s="9" t="inlineStr">
        <is>
          <t>Si $z=a+ib$, $\bar z=a-ib$.</t>
        </is>
      </c>
      <c r="H23" s="9" t="inlineStr">
        <is>
          <t>« Conjugué d'un nombre complexe. »</t>
        </is>
      </c>
      <c r="I23" s="9" t="n">
        <v>19</v>
      </c>
      <c r="J23" s="9" t="inlineStr"/>
      <c r="K23" s="11" t="n"/>
      <c r="L23" s="11" t="n"/>
    </row>
    <row r="24">
      <c r="A24" s="9" t="inlineStr">
        <is>
          <t>M023</t>
        </is>
      </c>
      <c r="B24" s="10" t="inlineStr">
        <is>
          <t>Noir – conforme</t>
        </is>
      </c>
      <c r="C24" s="9" t="inlineStr">
        <is>
          <t>BCPST1</t>
        </is>
      </c>
      <c r="D24" s="9" t="inlineStr">
        <is>
          <t>BCPST1 · Outils 4 – Nombres complexes</t>
        </is>
      </c>
      <c r="E24" s="9" t="inlineStr">
        <is>
          <t>Propriété</t>
        </is>
      </c>
      <c r="F24" s="10" t="inlineStr">
        <is>
          <t>Nombre complexe conjugué – Propriétés</t>
        </is>
      </c>
      <c r="G24" s="9" t="inlineStr">
        <is>
          <t>$z+\bar z=2\mathrm{Re}(z)$ ; $z-\bar z=2i\,\mathrm{Im}(z)$ ; $z$ réel $\iff\bar z=z$ ; $z$ imaginaire pur $\iff\bar z=-z$.</t>
        </is>
      </c>
      <c r="H24" s="9" t="inlineStr">
        <is>
          <t>« Propriétés de la conjugaison … (par exemple pour montrer qu'un nombre complexe est réel ou imaginaire pur). »</t>
        </is>
      </c>
      <c r="I24" s="9" t="n">
        <v>19</v>
      </c>
      <c r="J24" s="9" t="inlineStr"/>
      <c r="K24" s="11" t="n"/>
      <c r="L24" s="11" t="n"/>
    </row>
    <row r="25">
      <c r="A25" s="9" t="inlineStr">
        <is>
          <t>M024</t>
        </is>
      </c>
      <c r="B25" s="10" t="inlineStr">
        <is>
          <t>Noir – conforme</t>
        </is>
      </c>
      <c r="C25" s="9" t="inlineStr">
        <is>
          <t>BCPST1</t>
        </is>
      </c>
      <c r="D25" s="9" t="inlineStr">
        <is>
          <t>BCPST1 · Outils 4 – Nombres complexes</t>
        </is>
      </c>
      <c r="E25" s="9" t="inlineStr">
        <is>
          <t>Propriété</t>
        </is>
      </c>
      <c r="F25" s="10" t="inlineStr">
        <is>
          <t>Module d'un nombre complexe</t>
        </is>
      </c>
      <c r="G25" s="9" t="inlineStr">
        <is>
          <t>$|z|^2=z\bar z$.</t>
        </is>
      </c>
      <c r="H25" s="9" t="inlineStr">
        <is>
          <t>« Module … |z| = √(z z̄) ou |a+ib| = √(a²+b²). »</t>
        </is>
      </c>
      <c r="I25" s="9" t="n">
        <v>19</v>
      </c>
      <c r="J25" s="9" t="inlineStr"/>
      <c r="K25" s="11" t="n"/>
      <c r="L25" s="11" t="n"/>
    </row>
    <row r="26">
      <c r="A26" s="9" t="inlineStr">
        <is>
          <t>M025</t>
        </is>
      </c>
      <c r="B26" s="10" t="inlineStr">
        <is>
          <t>Noir – conforme</t>
        </is>
      </c>
      <c r="C26" s="9" t="inlineStr">
        <is>
          <t>BCPST1</t>
        </is>
      </c>
      <c r="D26" s="9" t="inlineStr">
        <is>
          <t>BCPST1 · Outils 4 – Nombres complexes</t>
        </is>
      </c>
      <c r="E26" s="9" t="inlineStr">
        <is>
          <t>Propriété</t>
        </is>
      </c>
      <c r="F26" s="10" t="inlineStr">
        <is>
          <t>Module d'un produit – Module d'un quotient</t>
        </is>
      </c>
      <c r="G26" s="9" t="inlineStr">
        <is>
          <t>$|zz'|=|z||z'|$ ; si $z'\neq0$, $\left|\dfrac{z}{z'}\right|=\dfrac{|z|}{|z'|}$.</t>
        </is>
      </c>
      <c r="H26" s="9" t="inlineStr">
        <is>
          <t>« Propriétés du module : multiplicativité … »</t>
        </is>
      </c>
      <c r="I26" s="9" t="n">
        <v>19</v>
      </c>
      <c r="J26" s="9" t="inlineStr"/>
      <c r="K26" s="11" t="n"/>
      <c r="L26" s="11" t="n"/>
    </row>
    <row r="27">
      <c r="A27" s="9" t="inlineStr">
        <is>
          <t>M026</t>
        </is>
      </c>
      <c r="B27" s="10" t="inlineStr">
        <is>
          <t>Noir – conforme</t>
        </is>
      </c>
      <c r="C27" s="9" t="inlineStr">
        <is>
          <t>BCPST1</t>
        </is>
      </c>
      <c r="D27" s="9" t="inlineStr">
        <is>
          <t>BCPST1 · Outils 4 – Nombres complexes</t>
        </is>
      </c>
      <c r="E27" s="9" t="inlineStr">
        <is>
          <t>Propriété</t>
        </is>
      </c>
      <c r="F27" s="10" t="inlineStr">
        <is>
          <t>Inégalité triangulaire</t>
        </is>
      </c>
      <c r="G27" s="9" t="inlineStr">
        <is>
          <t>$|z+z'|\le|z|+|z'|$.</t>
        </is>
      </c>
      <c r="H27" s="9" t="inlineStr">
        <is>
          <t>« Propriétés du module : … inégalité triangulaire. »</t>
        </is>
      </c>
      <c r="I27" s="9" t="n">
        <v>20</v>
      </c>
      <c r="J27" s="9" t="inlineStr"/>
      <c r="K27" s="11" t="n"/>
      <c r="L27" s="11" t="n"/>
    </row>
    <row r="28">
      <c r="A28" s="12" t="inlineStr">
        <is>
          <t>M027</t>
        </is>
      </c>
      <c r="B28" s="13" t="inlineStr">
        <is>
          <t>Orange – incertain</t>
        </is>
      </c>
      <c r="C28" s="12" t="inlineStr">
        <is>
          <t>BCPST1</t>
        </is>
      </c>
      <c r="D28" s="12" t="inlineStr">
        <is>
          <t>BCPST1 · Outils 4 – Nombres complexes</t>
        </is>
      </c>
      <c r="E28" s="12" t="inlineStr">
        <is>
          <t>Propriété</t>
        </is>
      </c>
      <c r="F28" s="13" t="inlineStr">
        <is>
          <t>Identité remarquable pour le module</t>
        </is>
      </c>
      <c r="G28" s="12" t="inlineStr">
        <is>
          <t>$|z+z'|^2=|z|^2+|z'|^2+2\,\mathrm{Re}(z\bar{z'})$.</t>
        </is>
      </c>
      <c r="H28" s="12" t="inlineStr">
        <is>
          <t>Programme muet : notion non mentionnée.</t>
        </is>
      </c>
      <c r="I28" s="12" t="n">
        <v>20</v>
      </c>
      <c r="J28" s="12" t="inlineStr"/>
      <c r="K28" s="14" t="n"/>
      <c r="L28" s="14" t="n"/>
    </row>
    <row r="29">
      <c r="A29" s="9" t="inlineStr">
        <is>
          <t>M028</t>
        </is>
      </c>
      <c r="B29" s="10" t="inlineStr">
        <is>
          <t>Noir – conforme</t>
        </is>
      </c>
      <c r="C29" s="9" t="inlineStr">
        <is>
          <t>BCPST1</t>
        </is>
      </c>
      <c r="D29" s="9" t="inlineStr">
        <is>
          <t>BCPST1 · Outils 4 – Nombres complexes</t>
        </is>
      </c>
      <c r="E29" s="9" t="inlineStr">
        <is>
          <t>Définition</t>
        </is>
      </c>
      <c r="F29" s="10" t="inlineStr">
        <is>
          <t>Exponentielle d'un imaginaire pur – Définition</t>
        </is>
      </c>
      <c r="G29" s="9" t="inlineStr">
        <is>
          <t>Pour $\theta\in\mathbb R$ : $e^{i\theta}=\cos\theta+i\sin\theta$.</t>
        </is>
      </c>
      <c r="H29" s="9" t="inlineStr">
        <is>
          <t>« Notation e^{iθ}. Propriétés … formules d'Euler. »</t>
        </is>
      </c>
      <c r="I29" s="9" t="n">
        <v>20</v>
      </c>
      <c r="J29" s="9" t="inlineStr"/>
      <c r="K29" s="11" t="n"/>
      <c r="L29" s="11" t="n"/>
    </row>
    <row r="30">
      <c r="A30" s="9" t="inlineStr">
        <is>
          <t>M029</t>
        </is>
      </c>
      <c r="B30" s="10" t="inlineStr">
        <is>
          <t>Noir – conforme</t>
        </is>
      </c>
      <c r="C30" s="9" t="inlineStr">
        <is>
          <t>BCPST1</t>
        </is>
      </c>
      <c r="D30" s="9" t="inlineStr">
        <is>
          <t>BCPST1 · Outils 4 – Nombres complexes</t>
        </is>
      </c>
      <c r="E30" s="9" t="inlineStr">
        <is>
          <t>Propriété</t>
        </is>
      </c>
      <c r="F30" s="10" t="inlineStr">
        <is>
          <t>Exponentielle d'un imaginaire pur – Propriété</t>
        </is>
      </c>
      <c r="G30" s="9" t="inlineStr">
        <is>
          <t>$e^{i\theta}=e^{i\theta'}\iff\theta\equiv\theta'\ [2\pi]$ ; $e^{i\theta}=1\iff\theta\equiv0\ [2\pi]$.</t>
        </is>
      </c>
      <c r="H30" s="9" t="inlineStr">
        <is>
          <t>« Arguments d'un nombre complexe non nul. »</t>
        </is>
      </c>
      <c r="I30" s="9" t="n">
        <v>20</v>
      </c>
      <c r="J30" s="9" t="inlineStr"/>
      <c r="K30" s="11" t="n"/>
      <c r="L30" s="11" t="n"/>
    </row>
    <row r="31">
      <c r="A31" s="12" t="inlineStr">
        <is>
          <t>M030</t>
        </is>
      </c>
      <c r="B31" s="13" t="inlineStr">
        <is>
          <t>Orange – incertain</t>
        </is>
      </c>
      <c r="C31" s="12" t="inlineStr">
        <is>
          <t>BCPST1</t>
        </is>
      </c>
      <c r="D31" s="12" t="inlineStr">
        <is>
          <t>BCPST1 · Outils 4 – Nombres complexes</t>
        </is>
      </c>
      <c r="E31" s="12" t="inlineStr">
        <is>
          <t>Définition</t>
        </is>
      </c>
      <c r="F31" s="13" t="inlineStr">
        <is>
          <t>Exponentielle d'un nombre complexe – Définition</t>
        </is>
      </c>
      <c r="G31" s="12" t="inlineStr">
        <is>
          <t>Pour $z\in\mathbb C$ : $e^z=e^{\mathrm{Re}(z)}e^{i\,\mathrm{Im}(z)}$.</t>
        </is>
      </c>
      <c r="H31" s="12" t="inlineStr">
        <is>
          <t>Seul e^{iθ} est au programme (et t ↦ e^{αt}, α ∈ C, en Analyse 4) ; l'exponentielle d'un complexe quelconque n'est pas définie comme telle.</t>
        </is>
      </c>
      <c r="I31" s="12" t="n">
        <v>20</v>
      </c>
      <c r="J31" s="12" t="inlineStr"/>
      <c r="K31" s="14" t="n"/>
      <c r="L31" s="14" t="n"/>
    </row>
    <row r="32">
      <c r="A32" s="12" t="inlineStr">
        <is>
          <t>M031</t>
        </is>
      </c>
      <c r="B32" s="13" t="inlineStr">
        <is>
          <t>Orange – incertain</t>
        </is>
      </c>
      <c r="C32" s="12" t="inlineStr">
        <is>
          <t>BCPST1</t>
        </is>
      </c>
      <c r="D32" s="12" t="inlineStr">
        <is>
          <t>BCPST1 · Outils 4 – Nombres complexes</t>
        </is>
      </c>
      <c r="E32" s="12" t="inlineStr">
        <is>
          <t>Propriété</t>
        </is>
      </c>
      <c r="F32" s="13" t="inlineStr">
        <is>
          <t>Exponentielle d'un nombre complexe – Propriété</t>
        </is>
      </c>
      <c r="G32" s="12" t="inlineStr">
        <is>
          <t>$|e^z|=e^{\mathrm{Re}z}$ ; $\arg(e^z)\equiv\mathrm{Im}z\ [2\pi]$ ; $e^{z+z'}=e^ze^{z'}$ ; $e^z=e^{z'}\iff z\equiv z'\ [2i\pi]$.</t>
        </is>
      </c>
      <c r="H32" s="12" t="inlineStr">
        <is>
          <t>Seul e^{iθ} est au programme ; propriétés de e^z non mentionnées.</t>
        </is>
      </c>
      <c r="I32" s="12" t="n">
        <v>20</v>
      </c>
      <c r="J32" s="12" t="inlineStr"/>
      <c r="K32" s="14" t="n"/>
      <c r="L32" s="14" t="n"/>
    </row>
    <row r="33">
      <c r="A33" s="9" t="inlineStr">
        <is>
          <t>M032</t>
        </is>
      </c>
      <c r="B33" s="10" t="inlineStr">
        <is>
          <t>Noir – conforme</t>
        </is>
      </c>
      <c r="C33" s="9" t="inlineStr">
        <is>
          <t>BCPST1</t>
        </is>
      </c>
      <c r="D33" s="9" t="inlineStr">
        <is>
          <t>BCPST1 · Outils 4 – Nombres complexes</t>
        </is>
      </c>
      <c r="E33" s="9" t="inlineStr">
        <is>
          <t>Théorème</t>
        </is>
      </c>
      <c r="F33" s="10" t="inlineStr">
        <is>
          <t>Résolution des équations du second degré à coefficients réels</t>
        </is>
      </c>
      <c r="G33" s="9" t="inlineStr">
        <is>
          <t>$az^2+bz+c=0$ ($a\neq0$), $\Delta=b^2-4ac$. Si $\Delta&gt;0$ : $z=\frac{-b\pm\sqrt\Delta}{2a}$ ; si $\Delta=0$ : $z=-\frac{b}{2a}$ (racine double) ; si $\Delta&lt;0$ : $z=\frac{-b\pm i\sqrt{-\Delta}}{2a}$ (complexes conjuguées).</t>
        </is>
      </c>
      <c r="H33" s="9" t="inlineStr">
        <is>
          <t>« Résolution des équations du second degré à coefficients réels. »</t>
        </is>
      </c>
      <c r="I33" s="9" t="n">
        <v>20</v>
      </c>
      <c r="J33" s="9" t="inlineStr">
        <is>
          <t>Coquille dans l'ouvrage : « $\Delta&gt;0$ » écrit deux fois au lieu de $\Delta&lt;0$ pour le 3e cas</t>
        </is>
      </c>
      <c r="K33" s="11" t="n"/>
      <c r="L33" s="11" t="n"/>
    </row>
    <row r="34">
      <c r="A34" s="9" t="inlineStr">
        <is>
          <t>M033</t>
        </is>
      </c>
      <c r="B34" s="10" t="inlineStr">
        <is>
          <t>Noir – conforme</t>
        </is>
      </c>
      <c r="C34" s="9" t="inlineStr">
        <is>
          <t>BCPST1</t>
        </is>
      </c>
      <c r="D34" s="9" t="inlineStr">
        <is>
          <t>BCPST1 · Outils 4 – Nombres complexes</t>
        </is>
      </c>
      <c r="E34" s="9" t="inlineStr">
        <is>
          <t>Propriété</t>
        </is>
      </c>
      <c r="F34" s="10" t="inlineStr">
        <is>
          <t>Caractérisation des solutions de az²+bz+c=0</t>
        </is>
      </c>
      <c r="G34" s="9" t="inlineStr">
        <is>
          <t>$z_1,z_2$ sont les solutions ssi $z_1+z_2=-\frac ba$ et $z_1z_2=\frac ca$.</t>
        </is>
      </c>
      <c r="H34" s="9" t="inlineStr">
        <is>
          <t>« … somme et produit des solutions. »</t>
        </is>
      </c>
      <c r="I34" s="9" t="n">
        <v>21</v>
      </c>
      <c r="J34" s="9" t="inlineStr"/>
      <c r="K34" s="11" t="n"/>
      <c r="L34" s="11" t="n"/>
    </row>
    <row r="35">
      <c r="A35" s="9" t="inlineStr">
        <is>
          <t>M034</t>
        </is>
      </c>
      <c r="B35" s="10" t="inlineStr">
        <is>
          <t>Noir – conforme</t>
        </is>
      </c>
      <c r="C35" s="9" t="inlineStr">
        <is>
          <t>BCPST1</t>
        </is>
      </c>
      <c r="D35" s="9" t="inlineStr">
        <is>
          <t>BCPST1 · Outils 4 – Nombres complexes</t>
        </is>
      </c>
      <c r="E35" s="9" t="inlineStr">
        <is>
          <t>Théorème</t>
        </is>
      </c>
      <c r="F35" s="10" t="inlineStr">
        <is>
          <t>Formule de Moivre</t>
        </is>
      </c>
      <c r="G35" s="9" t="inlineStr">
        <is>
          <t>$(\cos\theta+i\sin\theta)^n=\cos n\theta+i\sin n\theta$, i.e. $(e^{i\theta})^n=e^{in\theta}$ ($n\in\mathbb Z$).</t>
        </is>
      </c>
      <c r="H35" s="9" t="inlineStr">
        <is>
          <t>« (e^{iθ})ⁿ = e^{inθ} »</t>
        </is>
      </c>
      <c r="I35" s="9" t="n">
        <v>21</v>
      </c>
      <c r="J35" s="9" t="inlineStr">
        <is>
          <t>Coquille dans l'ouvrage (« $-$ » au lieu de « $=$ »)</t>
        </is>
      </c>
      <c r="K35" s="11" t="n"/>
      <c r="L35" s="11" t="n"/>
    </row>
    <row r="36">
      <c r="A36" s="9" t="inlineStr">
        <is>
          <t>M035</t>
        </is>
      </c>
      <c r="B36" s="10" t="inlineStr">
        <is>
          <t>Noir – conforme</t>
        </is>
      </c>
      <c r="C36" s="9" t="inlineStr">
        <is>
          <t>BCPST1</t>
        </is>
      </c>
      <c r="D36" s="9" t="inlineStr">
        <is>
          <t>BCPST1 · Outils 4 – Nombres complexes</t>
        </is>
      </c>
      <c r="E36" s="9" t="inlineStr">
        <is>
          <t>Théorème</t>
        </is>
      </c>
      <c r="F36" s="10" t="inlineStr">
        <is>
          <t>Formules d'Euler</t>
        </is>
      </c>
      <c r="G36" s="9" t="inlineStr">
        <is>
          <t>$\cos x=\dfrac{e^{ix}+e^{-ix}}2$ ; $\sin x=\dfrac{e^{ix}-e^{-ix}}{2i}$.</t>
        </is>
      </c>
      <c r="H36" s="9" t="inlineStr">
        <is>
          <t>« formules d'Euler »</t>
        </is>
      </c>
      <c r="I36" s="9" t="n">
        <v>21</v>
      </c>
      <c r="J36" s="9" t="inlineStr"/>
      <c r="K36" s="11" t="n"/>
      <c r="L36" s="11" t="n"/>
    </row>
    <row r="37">
      <c r="A37" s="15" t="inlineStr">
        <is>
          <t>M036</t>
        </is>
      </c>
      <c r="B37" s="16" t="inlineStr">
        <is>
          <t>Rouge – hors programme</t>
        </is>
      </c>
      <c r="C37" s="15" t="inlineStr">
        <is>
          <t>BCPST1</t>
        </is>
      </c>
      <c r="D37" s="15" t="inlineStr">
        <is>
          <t>BCPST1 · Outils 4 – Nombres complexes</t>
        </is>
      </c>
      <c r="E37" s="15" t="inlineStr">
        <is>
          <t>Propriété</t>
        </is>
      </c>
      <c r="F37" s="16" t="inlineStr">
        <is>
          <t>Racines n-ièmes d'un complexe</t>
        </is>
      </c>
      <c r="G37" s="15" t="inlineStr">
        <is>
          <t>Les solutions de $z^n=re^{i\varphi}$ ($r&gt;0$) sont $z_k=\sqrt[n]r\,e^{i\frac{\varphi+2k\pi}n}$, $0\le k\le n-1$. Racines $n$-ièmes de l'unité : $e^{2ik\pi/n}$.</t>
        </is>
      </c>
      <c r="H37" s="15" t="inlineStr">
        <is>
          <t>« La recherche des racines n-ièmes de l'unité ou d'un nombre complexe quelconque dans le cas n ≥ 3 n'est pas non plus un attendu du programme. »</t>
        </is>
      </c>
      <c r="I37" s="15" t="n">
        <v>21</v>
      </c>
      <c r="J37" s="15" t="inlineStr"/>
      <c r="K37" s="17" t="n"/>
      <c r="L37" s="17" t="n"/>
    </row>
    <row r="38">
      <c r="A38" s="9" t="inlineStr">
        <is>
          <t>M037</t>
        </is>
      </c>
      <c r="B38" s="10" t="inlineStr">
        <is>
          <t>Noir – conforme</t>
        </is>
      </c>
      <c r="C38" s="9" t="inlineStr">
        <is>
          <t>BCPST1</t>
        </is>
      </c>
      <c r="D38" s="9" t="inlineStr">
        <is>
          <t>BCPST1 · Outils 5 – Méthodes de calcul</t>
        </is>
      </c>
      <c r="E38" s="9" t="inlineStr">
        <is>
          <t>Définition</t>
        </is>
      </c>
      <c r="F38" s="10" t="inlineStr">
        <is>
          <t>Factorielle – Définition</t>
        </is>
      </c>
      <c r="G38" s="9" t="inlineStr">
        <is>
          <t>$n!=\prod_{k=1}^{n}k$, avec la convention $0!=1$.</t>
        </is>
      </c>
      <c r="H38" s="9" t="inlineStr">
        <is>
          <t>« Factorielle, notation n! »</t>
        </is>
      </c>
      <c r="I38" s="9" t="n">
        <v>1</v>
      </c>
      <c r="J38" s="9" t="inlineStr"/>
      <c r="K38" s="11" t="n"/>
      <c r="L38" s="11" t="n"/>
    </row>
    <row r="39">
      <c r="A39" s="9" t="inlineStr">
        <is>
          <t>M038</t>
        </is>
      </c>
      <c r="B39" s="10" t="inlineStr">
        <is>
          <t>Noir – conforme</t>
        </is>
      </c>
      <c r="C39" s="9" t="inlineStr">
        <is>
          <t>BCPST1</t>
        </is>
      </c>
      <c r="D39" s="9" t="inlineStr">
        <is>
          <t>BCPST1 · Outils 5 – Méthodes de calcul</t>
        </is>
      </c>
      <c r="E39" s="9" t="inlineStr">
        <is>
          <t>Définition</t>
        </is>
      </c>
      <c r="F39" s="10" t="inlineStr">
        <is>
          <t>Combinaisons</t>
        </is>
      </c>
      <c r="G39" s="9" t="inlineStr">
        <is>
          <t>Pour $p\le n$ : $\binom{n}{p}=\dfrac{n!}{p!(n-p)!}$ = nombre de parties à $p$ éléments d'un ensemble à $n$ éléments. Convention : $\binom{n}{p}=0$ si $p\notin[\![0,n]\!]$.</t>
        </is>
      </c>
      <c r="H39" s="9" t="inlineStr">
        <is>
          <t>« Coefficients binomiaux » (définition avec convention 0 si k&lt;0 ou k&gt;n) ; O7 : « Il y a (n p) p-combinaisons de E ».</t>
        </is>
      </c>
      <c r="I39" s="9" t="n">
        <v>2</v>
      </c>
      <c r="J39" s="9" t="inlineStr"/>
      <c r="K39" s="11" t="n"/>
      <c r="L39" s="11" t="n"/>
    </row>
    <row r="40">
      <c r="A40" s="9" t="inlineStr">
        <is>
          <t>M039</t>
        </is>
      </c>
      <c r="B40" s="10" t="inlineStr">
        <is>
          <t>Noir – conforme</t>
        </is>
      </c>
      <c r="C40" s="9" t="inlineStr">
        <is>
          <t>BCPST1</t>
        </is>
      </c>
      <c r="D40" s="9" t="inlineStr">
        <is>
          <t>BCPST1 · Outils 5 – Méthodes de calcul</t>
        </is>
      </c>
      <c r="E40" s="9" t="inlineStr">
        <is>
          <t>Propriété</t>
        </is>
      </c>
      <c r="F40" s="10" t="inlineStr">
        <is>
          <t>Combinaisons – Propriétés</t>
        </is>
      </c>
      <c r="G40" s="9" t="inlineStr">
        <is>
          <t>Symétrie : $\binom{n}{p}=\binom{n}{n-p}$. Formule de Pascal : $\binom{n}{p}+\binom{n}{p+1}=\binom{n+1}{p+1}$.</t>
        </is>
      </c>
      <c r="H40" s="9" t="inlineStr">
        <is>
          <t>« Triangle de Pascal. On met en valeur les formules (n k)=(n n−k) … (n k−1)+(n k)=(n+1 k) ».</t>
        </is>
      </c>
      <c r="I40" s="9" t="n">
        <v>2</v>
      </c>
      <c r="J40" s="9" t="inlineStr"/>
      <c r="K40" s="11" t="n"/>
      <c r="L40" s="11" t="n"/>
    </row>
    <row r="41">
      <c r="A41" s="9" t="inlineStr">
        <is>
          <t>M040</t>
        </is>
      </c>
      <c r="B41" s="10" t="inlineStr">
        <is>
          <t>Noir – conforme</t>
        </is>
      </c>
      <c r="C41" s="9" t="inlineStr">
        <is>
          <t>BCPST1</t>
        </is>
      </c>
      <c r="D41" s="9" t="inlineStr">
        <is>
          <t>BCPST1 · Outils 5 – Méthodes de calcul</t>
        </is>
      </c>
      <c r="E41" s="9" t="inlineStr">
        <is>
          <t>Théorème</t>
        </is>
      </c>
      <c r="F41" s="10" t="inlineStr">
        <is>
          <t>Binôme de Newton</t>
        </is>
      </c>
      <c r="G41" s="9" t="inlineStr">
        <is>
          <t>Pour $n\in\mathbb N$ et $(x,y)\in\mathbb C^2$ : $(x+y)^n=\sum_{k=0}^{n}\binom{n}{k}x^k y^{n-k}$.</t>
        </is>
      </c>
      <c r="H41" s="9" t="inlineStr">
        <is>
          <t>« Formule du binôme. » (K = R ou C)</t>
        </is>
      </c>
      <c r="I41" s="9" t="n">
        <v>2</v>
      </c>
      <c r="J41" s="9" t="inlineStr"/>
      <c r="K41" s="11" t="n"/>
      <c r="L41" s="11" t="n"/>
    </row>
    <row r="42">
      <c r="A42" s="9" t="inlineStr">
        <is>
          <t>M041</t>
        </is>
      </c>
      <c r="B42" s="10" t="inlineStr">
        <is>
          <t>Noir – conforme</t>
        </is>
      </c>
      <c r="C42" s="9" t="inlineStr">
        <is>
          <t>BCPST1</t>
        </is>
      </c>
      <c r="D42" s="9" t="inlineStr">
        <is>
          <t>BCPST1 · Outils 5 – Méthodes de calcul</t>
        </is>
      </c>
      <c r="E42" s="9" t="inlineStr">
        <is>
          <t>Propriété</t>
        </is>
      </c>
      <c r="F42" s="10" t="inlineStr">
        <is>
          <t>Somme des n premiers entiers</t>
        </is>
      </c>
      <c r="G42" s="9" t="inlineStr">
        <is>
          <t>$\sum_{k=1}^{n}k=\dfrac{n(n+1)}2$.</t>
        </is>
      </c>
      <c r="H42" s="9" t="inlineStr">
        <is>
          <t>« Sommes des n premiers entiers et des n premiers carrés. »</t>
        </is>
      </c>
      <c r="I42" s="9" t="n">
        <v>22</v>
      </c>
      <c r="J42" s="9" t="inlineStr"/>
      <c r="K42" s="11" t="n"/>
      <c r="L42" s="11" t="n"/>
    </row>
    <row r="43">
      <c r="A43" s="9" t="inlineStr">
        <is>
          <t>M042</t>
        </is>
      </c>
      <c r="B43" s="10" t="inlineStr">
        <is>
          <t>Noir – conforme</t>
        </is>
      </c>
      <c r="C43" s="9" t="inlineStr">
        <is>
          <t>BCPST1</t>
        </is>
      </c>
      <c r="D43" s="9" t="inlineStr">
        <is>
          <t>BCPST1 · Outils 6 – Vocabulaire des applications</t>
        </is>
      </c>
      <c r="E43" s="9" t="inlineStr">
        <is>
          <t>Définition</t>
        </is>
      </c>
      <c r="F43" s="10" t="inlineStr">
        <is>
          <t>Image directe d'une partie</t>
        </is>
      </c>
      <c r="G43" s="9" t="inlineStr">
        <is>
          <t>Pour $f:E\to F$ et $A\subset E$ : $f(A)=\{f(x),\ x\in A\}$.</t>
        </is>
      </c>
      <c r="H43" s="9" t="inlineStr">
        <is>
          <t>« Image directe d'une partie de l'ensemble de départ. » (l'image réciproque fait l'objet d'une fiche séparée)</t>
        </is>
      </c>
      <c r="I43" s="9" t="n">
        <v>5</v>
      </c>
      <c r="J43" s="9" t="inlineStr">
        <is>
          <t>Cadre de l'ouvrage « Ensembles et applications » scindé en deux fiches</t>
        </is>
      </c>
      <c r="K43" s="11" t="n"/>
      <c r="L43" s="11" t="n"/>
    </row>
    <row r="44">
      <c r="A44" s="15" t="inlineStr">
        <is>
          <t>M043</t>
        </is>
      </c>
      <c r="B44" s="16" t="inlineStr">
        <is>
          <t>Rouge – hors programme</t>
        </is>
      </c>
      <c r="C44" s="15" t="inlineStr">
        <is>
          <t>BCPST1</t>
        </is>
      </c>
      <c r="D44" s="15" t="inlineStr">
        <is>
          <t>BCPST1 · Outils 6 – Vocabulaire des applications</t>
        </is>
      </c>
      <c r="E44" s="15" t="inlineStr">
        <is>
          <t>Définition</t>
        </is>
      </c>
      <c r="F44" s="16" t="inlineStr">
        <is>
          <t>Image réciproque d'une partie</t>
        </is>
      </c>
      <c r="G44" s="15" t="inlineStr">
        <is>
          <t>Pour $f:E\to F$ et $B\subset F$ : $f^{-1}(B)=\{x\in E,\ f(x)\in B\}$.</t>
        </is>
      </c>
      <c r="H44" s="15" t="inlineStr">
        <is>
          <t>« La notion d'image réciproque d'une partie de l'ensemble d'arrivée n'est pas un attendu du programme. »</t>
        </is>
      </c>
      <c r="I44" s="15" t="n">
        <v>5</v>
      </c>
      <c r="J44" s="15" t="inlineStr">
        <is>
          <t>Fiche détachée d'un cadre de l'ouvrage (contenu partiellement hors programme)</t>
        </is>
      </c>
      <c r="K44" s="17" t="n"/>
      <c r="L44" s="17" t="n"/>
    </row>
    <row r="45">
      <c r="A45" s="9" t="inlineStr">
        <is>
          <t>M044</t>
        </is>
      </c>
      <c r="B45" s="10" t="inlineStr">
        <is>
          <t>Noir – conforme</t>
        </is>
      </c>
      <c r="C45" s="9" t="inlineStr">
        <is>
          <t>BCPST1</t>
        </is>
      </c>
      <c r="D45" s="9" t="inlineStr">
        <is>
          <t>BCPST1 · Outils 6 – Vocabulaire des applications</t>
        </is>
      </c>
      <c r="E45" s="9" t="inlineStr">
        <is>
          <t>Définition</t>
        </is>
      </c>
      <c r="F45" s="10" t="inlineStr">
        <is>
          <t>Application injective</t>
        </is>
      </c>
      <c r="G45" s="9" t="inlineStr">
        <is>
          <t>$f$ est injective si $\forall(x,y)\in E^2,\ f(x)=f(y)\Rightarrow x=y$.</t>
        </is>
      </c>
      <c r="H45" s="9" t="inlineStr">
        <is>
          <t>« Injection, surjection, bijection, application réciproque. »</t>
        </is>
      </c>
      <c r="I45" s="9" t="n">
        <v>5</v>
      </c>
      <c r="J45" s="9" t="inlineStr"/>
      <c r="K45" s="11" t="n"/>
      <c r="L45" s="11" t="n"/>
    </row>
    <row r="46">
      <c r="A46" s="9" t="inlineStr">
        <is>
          <t>M045</t>
        </is>
      </c>
      <c r="B46" s="10" t="inlineStr">
        <is>
          <t>Noir – conforme</t>
        </is>
      </c>
      <c r="C46" s="9" t="inlineStr">
        <is>
          <t>BCPST1</t>
        </is>
      </c>
      <c r="D46" s="9" t="inlineStr">
        <is>
          <t>BCPST1 · Outils 6 – Vocabulaire des applications</t>
        </is>
      </c>
      <c r="E46" s="9" t="inlineStr">
        <is>
          <t>Définition</t>
        </is>
      </c>
      <c r="F46" s="10" t="inlineStr">
        <is>
          <t>Application surjective</t>
        </is>
      </c>
      <c r="G46" s="9" t="inlineStr">
        <is>
          <t>$f:E\to F$ est surjective si $\forall y\in F,\ \exists x\in E,\ f(x)=y$.</t>
        </is>
      </c>
      <c r="H46" s="9" t="inlineStr">
        <is>
          <t>« Injection, surjection, bijection, application réciproque. »</t>
        </is>
      </c>
      <c r="I46" s="9" t="n">
        <v>5</v>
      </c>
      <c r="J46" s="9" t="inlineStr">
        <is>
          <t>L'ouvrage écrit « application linéaire » : la définition vaut pour toute application</t>
        </is>
      </c>
      <c r="K46" s="11" t="n"/>
      <c r="L46" s="11" t="n"/>
    </row>
    <row r="47">
      <c r="A47" s="9" t="inlineStr">
        <is>
          <t>M046</t>
        </is>
      </c>
      <c r="B47" s="10" t="inlineStr">
        <is>
          <t>Noir – conforme</t>
        </is>
      </c>
      <c r="C47" s="9" t="inlineStr">
        <is>
          <t>BCPST1</t>
        </is>
      </c>
      <c r="D47" s="9" t="inlineStr">
        <is>
          <t>BCPST1 · Outils 6 – Vocabulaire des applications</t>
        </is>
      </c>
      <c r="E47" s="9" t="inlineStr">
        <is>
          <t>Théorème</t>
        </is>
      </c>
      <c r="F47" s="10" t="inlineStr">
        <is>
          <t>Théorème de la bijection réciproque</t>
        </is>
      </c>
      <c r="G47" s="9" t="inlineStr">
        <is>
          <t>$f:E\to F$ est bijective ssi il existe $g:F\to E$ avec $g\circ f=\mathrm{id}_E$ et $f\circ g=\mathrm{id}_F$. Si $f$ et $g$ sont bijectives, $(g\circ f)^{-1}=f^{-1}\circ g^{-1}$.</t>
        </is>
      </c>
      <c r="H47" s="9" t="inlineStr">
        <is>
          <t>« Composée de deux bijections, réciproque de la composée. »</t>
        </is>
      </c>
      <c r="I47" s="9" t="n">
        <v>5</v>
      </c>
      <c r="J47" s="9" t="inlineStr"/>
      <c r="K47" s="11" t="n"/>
      <c r="L47" s="11" t="n"/>
    </row>
    <row r="48">
      <c r="A48" s="9" t="inlineStr">
        <is>
          <t>M047</t>
        </is>
      </c>
      <c r="B48" s="10" t="inlineStr">
        <is>
          <t>Noir – conforme</t>
        </is>
      </c>
      <c r="C48" s="9" t="inlineStr">
        <is>
          <t>BCPST1</t>
        </is>
      </c>
      <c r="D48" s="9" t="inlineStr">
        <is>
          <t>BCPST1 · Outils 7 – Dénombrement</t>
        </is>
      </c>
      <c r="E48" s="9" t="inlineStr">
        <is>
          <t>Propriété</t>
        </is>
      </c>
      <c r="F48" s="10" t="inlineStr">
        <is>
          <t>Permutations</t>
        </is>
      </c>
      <c r="G48" s="9" t="inlineStr">
        <is>
          <t>$S_n$ (ensemble des permutations de $n$ éléments, i.e. des bijections de $[\![1,n]\!]$ dans lui-même) : $\mathrm{card}\,S_n=n!$</t>
        </is>
      </c>
      <c r="H48" s="9" t="inlineStr">
        <is>
          <t>« Il y a n! permutations de E. »</t>
        </is>
      </c>
      <c r="I48" s="9" t="n">
        <v>1</v>
      </c>
      <c r="J48" s="9" t="inlineStr"/>
      <c r="K48" s="11" t="n"/>
      <c r="L48" s="11" t="n"/>
    </row>
    <row r="49">
      <c r="A49" s="9" t="inlineStr">
        <is>
          <t>M048</t>
        </is>
      </c>
      <c r="B49" s="10" t="inlineStr">
        <is>
          <t>Noir – conforme</t>
        </is>
      </c>
      <c r="C49" s="9" t="inlineStr">
        <is>
          <t>BCPST1</t>
        </is>
      </c>
      <c r="D49" s="9" t="inlineStr">
        <is>
          <t>BCPST1 · Outils 7 – Dénombrement</t>
        </is>
      </c>
      <c r="E49" s="9" t="inlineStr">
        <is>
          <t>Définition</t>
        </is>
      </c>
      <c r="F49" s="10" t="inlineStr">
        <is>
          <t>Arrangements</t>
        </is>
      </c>
      <c r="G49" s="9" t="inlineStr">
        <is>
          <t>Pour $p\le n$ : $A_n^p=\dfrac{n!}{(n-p)!}$ = nombre de $p$-uplets d'éléments deux à deux distincts pris dans un ensemble à $n$ éléments.</t>
        </is>
      </c>
      <c r="H49" s="9" t="inlineStr">
        <is>
          <t>« il y a n(n−1)···(n−p+1) p-uplets sans répétition de E ». La notation A_n^p n'est pas utilisée par le programme.</t>
        </is>
      </c>
      <c r="I49" s="9" t="n">
        <v>2</v>
      </c>
      <c r="J49" s="9" t="inlineStr">
        <is>
          <t>Titre du cadre coupé par la capture : intitulé reconstitué</t>
        </is>
      </c>
      <c r="K49" s="11" t="n"/>
      <c r="L49" s="11" t="n"/>
    </row>
    <row r="50">
      <c r="A50" s="9" t="inlineStr">
        <is>
          <t>M049</t>
        </is>
      </c>
      <c r="B50" s="10" t="inlineStr">
        <is>
          <t>Noir – conforme</t>
        </is>
      </c>
      <c r="C50" s="9" t="inlineStr">
        <is>
          <t>BCPST1</t>
        </is>
      </c>
      <c r="D50" s="9" t="inlineStr">
        <is>
          <t>BCPST1 · Outils 7 – Dénombrement</t>
        </is>
      </c>
      <c r="E50" s="9" t="inlineStr">
        <is>
          <t>Définition</t>
        </is>
      </c>
      <c r="F50" s="10" t="inlineStr">
        <is>
          <t>Parties d'un ensemble – Définition</t>
        </is>
      </c>
      <c r="G50" s="9" t="inlineStr">
        <is>
          <t>$\mathcal P(\Omega)$ : ensemble des parties de $\Omega$ ; $A\in\mathcal P(\Omega)\iff A\subset\Omega$.</t>
        </is>
      </c>
      <c r="H50" s="9" t="inlineStr">
        <is>
          <t>« Cardinal de l'ensemble des parties de E. »</t>
        </is>
      </c>
      <c r="I50" s="9" t="n">
        <v>71</v>
      </c>
      <c r="J50" s="9" t="inlineStr"/>
      <c r="K50" s="11" t="n"/>
      <c r="L50" s="11" t="n"/>
    </row>
    <row r="51">
      <c r="A51" s="9" t="inlineStr">
        <is>
          <t>M050</t>
        </is>
      </c>
      <c r="B51" s="10" t="inlineStr">
        <is>
          <t>Noir – conforme</t>
        </is>
      </c>
      <c r="C51" s="9" t="inlineStr">
        <is>
          <t>BCPST1</t>
        </is>
      </c>
      <c r="D51" s="9" t="inlineStr">
        <is>
          <t>BCPST1 · Outils 7 – Dénombrement</t>
        </is>
      </c>
      <c r="E51" s="9" t="inlineStr">
        <is>
          <t>Propriété</t>
        </is>
      </c>
      <c r="F51" s="10" t="inlineStr">
        <is>
          <t>Formule des quatre cardinaux</t>
        </is>
      </c>
      <c r="G51" s="9" t="inlineStr">
        <is>
          <t>$\mathrm{Card}(A\cup B)=\mathrm{Card}A+\mathrm{Card}B-\mathrm{Card}(A\cap B)$.</t>
        </is>
      </c>
      <c r="H51" s="9" t="inlineStr">
        <is>
          <t>« Formule card(A ∪ B) = card A + card B − card(A ∩ B). »</t>
        </is>
      </c>
      <c r="I51" s="9" t="n">
        <v>73</v>
      </c>
      <c r="J51" s="9" t="inlineStr"/>
      <c r="K51" s="11" t="n"/>
      <c r="L51" s="11" t="n"/>
    </row>
    <row r="52">
      <c r="A52" s="9" t="inlineStr">
        <is>
          <t>M051</t>
        </is>
      </c>
      <c r="B52" s="10" t="inlineStr">
        <is>
          <t>Noir – conforme</t>
        </is>
      </c>
      <c r="C52" s="9" t="inlineStr">
        <is>
          <t>BCPST1</t>
        </is>
      </c>
      <c r="D52" s="9" t="inlineStr">
        <is>
          <t>BCPST1 · Outils 7 – Dénombrement</t>
        </is>
      </c>
      <c r="E52" s="9" t="inlineStr">
        <is>
          <t>Propriété</t>
        </is>
      </c>
      <c r="F52" s="10" t="inlineStr">
        <is>
          <t>Lemme des bergers (partition)</t>
        </is>
      </c>
      <c r="G52" s="9" t="inlineStr">
        <is>
          <t>Si $(A_1,\dots,A_n)$ est un système complet de parties de $\Omega$ fini : $\mathrm{Card}\,\Omega=\sum_i\mathrm{Card}A_i$.</t>
        </is>
      </c>
      <c r="H52" s="9" t="inlineStr">
        <is>
          <t>« Cardinal d'une union disjointe. » (le nom « lemme des bergers » n'est pas employé)</t>
        </is>
      </c>
      <c r="I52" s="9" t="n">
        <v>73</v>
      </c>
      <c r="J52" s="9" t="inlineStr">
        <is>
          <t>L'ouvrage appelle « lemme des bergers » la formule de partition (le nom désigne usuellement le principe « $p$ à $1$ »)</t>
        </is>
      </c>
      <c r="K52" s="11" t="n"/>
      <c r="L52" s="11" t="n"/>
    </row>
    <row r="53">
      <c r="A53" s="9" t="inlineStr">
        <is>
          <t>M052</t>
        </is>
      </c>
      <c r="B53" s="10" t="inlineStr">
        <is>
          <t>Noir – conforme</t>
        </is>
      </c>
      <c r="C53" s="9" t="inlineStr">
        <is>
          <t>BCPST1</t>
        </is>
      </c>
      <c r="D53" s="9" t="inlineStr">
        <is>
          <t>BCPST1 · Outils 7 – Dénombrement</t>
        </is>
      </c>
      <c r="E53" s="9" t="inlineStr">
        <is>
          <t>Propriété</t>
        </is>
      </c>
      <c r="F53" s="10" t="inlineStr">
        <is>
          <t>Cardinal d'un produit cartésien</t>
        </is>
      </c>
      <c r="G53" s="9" t="inlineStr">
        <is>
          <t>$\mathrm{Card}(A_1\times\dots\times A_n)=\prod_i\mathrm{Card}A_i$.</t>
        </is>
      </c>
      <c r="H53" s="9" t="inlineStr">
        <is>
          <t>« Cardinal d'un produit cartésien. »</t>
        </is>
      </c>
      <c r="I53" s="9" t="n">
        <v>74</v>
      </c>
      <c r="J53" s="9" t="inlineStr"/>
      <c r="K53" s="11" t="n"/>
      <c r="L53" s="11" t="n"/>
    </row>
    <row r="54">
      <c r="A54" s="9" t="inlineStr">
        <is>
          <t>M053</t>
        </is>
      </c>
      <c r="B54" s="10" t="inlineStr">
        <is>
          <t>Noir – conforme</t>
        </is>
      </c>
      <c r="C54" s="9" t="inlineStr">
        <is>
          <t>BCPST1</t>
        </is>
      </c>
      <c r="D54" s="9" t="inlineStr">
        <is>
          <t>BCPST1 · Outils 7 – Dénombrement</t>
        </is>
      </c>
      <c r="E54" s="9" t="inlineStr">
        <is>
          <t>Propriété</t>
        </is>
      </c>
      <c r="F54" s="10" t="inlineStr">
        <is>
          <t>Applications et p-uplets</t>
        </is>
      </c>
      <c r="G54" s="9" t="inlineStr">
        <is>
          <t>$n^p$ = nombre d'applications d'un ensemble à $p$ éléments dans un ensemble à $n$ éléments = nombre de $p$-uplets d'un ensemble à $n$ éléments = nombre de tirages successifs AVEC remise de $p$ boules parmi $n$.</t>
        </is>
      </c>
      <c r="H54" s="9" t="inlineStr">
        <is>
          <t>« Il y a n^p p-uplets de E … choisir successivement p objets parmi n objets distincts, avec d'éventuelles répétitions. »</t>
        </is>
      </c>
      <c r="I54" s="9" t="n">
        <v>74</v>
      </c>
      <c r="J54" s="9" t="inlineStr">
        <is>
          <t>ERREUR DANS L'OUVRAGE : il écrit « sans remise » ; c'est AVEC remise</t>
        </is>
      </c>
      <c r="K54" s="11" t="n"/>
      <c r="L54" s="11" t="n"/>
    </row>
    <row r="55">
      <c r="A55" s="9" t="inlineStr">
        <is>
          <t>M054</t>
        </is>
      </c>
      <c r="B55" s="10" t="inlineStr">
        <is>
          <t>Noir – conforme</t>
        </is>
      </c>
      <c r="C55" s="9" t="inlineStr">
        <is>
          <t>BCPST1</t>
        </is>
      </c>
      <c r="D55" s="9" t="inlineStr">
        <is>
          <t>BCPST1 · Outils 7 – Dénombrement</t>
        </is>
      </c>
      <c r="E55" s="9" t="inlineStr">
        <is>
          <t>Propriété</t>
        </is>
      </c>
      <c r="F55" s="10" t="inlineStr">
        <is>
          <t>Injections et p-uplets d'éléments distincts</t>
        </is>
      </c>
      <c r="G55" s="9" t="inlineStr">
        <is>
          <t>$A_n^p=\frac{n!}{(n-p)!}$ = nombre d'injections d'un ensemble à $p$ éléments dans un ensemble à $n$ éléments = nombre de $p$-uplets d'éléments distincts = nombre de tirages successifs SANS remise.</t>
        </is>
      </c>
      <c r="H55" s="9" t="inlineStr">
        <is>
          <t>« il y a n(n−1)···(n−p+1) p-uplets sans répétition … choisir successivement p objets parmi n, sans répétition. »</t>
        </is>
      </c>
      <c r="I55" s="9" t="n">
        <v>74</v>
      </c>
      <c r="J55" s="9" t="inlineStr">
        <is>
          <t>ERREUR DANS L'OUVRAGE : il écrit « avec remise » ; c'est SANS remise</t>
        </is>
      </c>
      <c r="K55" s="11" t="n"/>
      <c r="L55" s="11" t="n"/>
    </row>
    <row r="56">
      <c r="A56" s="9" t="inlineStr">
        <is>
          <t>M055</t>
        </is>
      </c>
      <c r="B56" s="10" t="inlineStr">
        <is>
          <t>Noir – conforme</t>
        </is>
      </c>
      <c r="C56" s="9" t="inlineStr">
        <is>
          <t>BCPST1</t>
        </is>
      </c>
      <c r="D56" s="9" t="inlineStr">
        <is>
          <t>BCPST1 · Outils 7 – Dénombrement</t>
        </is>
      </c>
      <c r="E56" s="9" t="inlineStr">
        <is>
          <t>Propriété</t>
        </is>
      </c>
      <c r="F56" s="10" t="inlineStr">
        <is>
          <t>Permutations (dénombrement)</t>
        </is>
      </c>
      <c r="G56" s="9" t="inlineStr">
        <is>
          <t>$n!$ = nombre de bijections entre deux ensembles à $n$ éléments = nombre de permutations de $n$ objets.</t>
        </is>
      </c>
      <c r="H56" s="9" t="inlineStr">
        <is>
          <t>« Il y a n! permutations de E. »</t>
        </is>
      </c>
      <c r="I56" s="9" t="n">
        <v>74</v>
      </c>
      <c r="J56" s="9" t="inlineStr"/>
      <c r="K56" s="11" t="n"/>
      <c r="L56" s="11" t="n"/>
    </row>
    <row r="57">
      <c r="A57" s="9" t="inlineStr">
        <is>
          <t>M056</t>
        </is>
      </c>
      <c r="B57" s="10" t="inlineStr">
        <is>
          <t>Noir – conforme</t>
        </is>
      </c>
      <c r="C57" s="9" t="inlineStr">
        <is>
          <t>BCPST1</t>
        </is>
      </c>
      <c r="D57" s="9" t="inlineStr">
        <is>
          <t>BCPST1 · Outils 7 – Dénombrement</t>
        </is>
      </c>
      <c r="E57" s="9" t="inlineStr">
        <is>
          <t>Propriété</t>
        </is>
      </c>
      <c r="F57" s="10" t="inlineStr">
        <is>
          <t>Parties d'un ensemble (dénombrement)</t>
        </is>
      </c>
      <c r="G57" s="9" t="inlineStr">
        <is>
          <t>$\binom np$ = nombre de parties à $p$ éléments = nombre de tirages simultanés de $p$ boules parmi $n$ ; un ensemble à $n$ éléments a $2^n$ parties.</t>
        </is>
      </c>
      <c r="H57" s="9" t="inlineStr">
        <is>
          <t>« (n p) est le nombre de façons de choisir simultanément p objets parmi n … Cardinal de l'ensemble des parties de E. »</t>
        </is>
      </c>
      <c r="I57" s="9" t="n">
        <v>74</v>
      </c>
      <c r="J57" s="9" t="inlineStr"/>
      <c r="K57" s="11" t="n"/>
      <c r="L57" s="11" t="n"/>
    </row>
    <row r="58">
      <c r="A58" s="9" t="inlineStr">
        <is>
          <t>M057</t>
        </is>
      </c>
      <c r="B58" s="10" t="inlineStr">
        <is>
          <t>Noir – conforme</t>
        </is>
      </c>
      <c r="C58" s="9" t="inlineStr">
        <is>
          <t>BCPST1</t>
        </is>
      </c>
      <c r="D58" s="9" t="inlineStr">
        <is>
          <t>BCPST1 · Analyse 1 – Suites réelles usuelles</t>
        </is>
      </c>
      <c r="E58" s="9" t="inlineStr">
        <is>
          <t>Propriété</t>
        </is>
      </c>
      <c r="F58" s="10" t="inlineStr">
        <is>
          <t>Suite arithmétique</t>
        </is>
      </c>
      <c r="G58" s="9" t="inlineStr">
        <is>
          <t>$u_n=u_{n-1}+r$ ; $u_n=u_p+(n-p)r$ ; somme de $n$ termes consécutifs $=n\times\dfrac{\text{premier}+\text{dernier}}2$.</t>
        </is>
      </c>
      <c r="H58" s="9" t="inlineStr">
        <is>
          <t>« Suites arithmétiques, suites géométriques. Terme général. »</t>
        </is>
      </c>
      <c r="I58" s="9" t="n">
        <v>24</v>
      </c>
      <c r="J58" s="9" t="inlineStr"/>
      <c r="K58" s="11" t="n"/>
      <c r="L58" s="11" t="n"/>
    </row>
    <row r="59">
      <c r="A59" s="9" t="inlineStr">
        <is>
          <t>M058</t>
        </is>
      </c>
      <c r="B59" s="10" t="inlineStr">
        <is>
          <t>Noir – conforme</t>
        </is>
      </c>
      <c r="C59" s="9" t="inlineStr">
        <is>
          <t>BCPST1</t>
        </is>
      </c>
      <c r="D59" s="9" t="inlineStr">
        <is>
          <t>BCPST1 · Analyse 1 – Suites réelles usuelles</t>
        </is>
      </c>
      <c r="E59" s="9" t="inlineStr">
        <is>
          <t>Propriété</t>
        </is>
      </c>
      <c r="F59" s="10" t="inlineStr">
        <is>
          <t>Suite géométrique</t>
        </is>
      </c>
      <c r="G59" s="9" t="inlineStr">
        <is>
          <t>$u_n=q\,u_{n-1}$ ; $u_n=q^{n-p}u_p$ ; pour $q\neq1$ : $\sum_{k=1}^{n}u_k=u_1\dfrac{q^n-1}{q-1}$.</t>
        </is>
      </c>
      <c r="H59" s="9" t="inlineStr">
        <is>
          <t>« Suites géométriques » ; O5 : « Somme de termes consécutifs d'une progression géométrique ».</t>
        </is>
      </c>
      <c r="I59" s="9" t="n">
        <v>25</v>
      </c>
      <c r="J59" s="9" t="inlineStr"/>
      <c r="K59" s="11" t="n"/>
      <c r="L59" s="11" t="n"/>
    </row>
    <row r="60">
      <c r="A60" s="9" t="inlineStr">
        <is>
          <t>M059</t>
        </is>
      </c>
      <c r="B60" s="10" t="inlineStr">
        <is>
          <t>Noir – conforme</t>
        </is>
      </c>
      <c r="C60" s="9" t="inlineStr">
        <is>
          <t>BCPST1</t>
        </is>
      </c>
      <c r="D60" s="9" t="inlineStr">
        <is>
          <t>BCPST1 · Analyse 2 – Fonctions réelles usuelles</t>
        </is>
      </c>
      <c r="E60" s="9" t="inlineStr">
        <is>
          <t>Définition</t>
        </is>
      </c>
      <c r="F60" s="10" t="inlineStr">
        <is>
          <t>Application majorée – minorée – bornée</t>
        </is>
      </c>
      <c r="G60" s="9" t="inlineStr">
        <is>
          <t>$f$ majorée : $\exists A,\ \forall x,\ f(x)\le A$ ; minorée : $\exists B,\ \forall x,\ f(x)\ge B$ ; bornée : majorée et minorée.</t>
        </is>
      </c>
      <c r="H60" s="9" t="inlineStr">
        <is>
          <t>« Fonctions majorées, minorées, bornées. »</t>
        </is>
      </c>
      <c r="I60" s="9" t="n">
        <v>26</v>
      </c>
      <c r="J60" s="9" t="inlineStr"/>
      <c r="K60" s="11" t="n"/>
      <c r="L60" s="11" t="n"/>
    </row>
    <row r="61">
      <c r="A61" s="9" t="inlineStr">
        <is>
          <t>M060</t>
        </is>
      </c>
      <c r="B61" s="10" t="inlineStr">
        <is>
          <t>Noir – conforme</t>
        </is>
      </c>
      <c r="C61" s="9" t="inlineStr">
        <is>
          <t>BCPST1</t>
        </is>
      </c>
      <c r="D61" s="9" t="inlineStr">
        <is>
          <t>BCPST1 · Analyse 2 – Fonctions réelles usuelles</t>
        </is>
      </c>
      <c r="E61" s="9" t="inlineStr">
        <is>
          <t>Définition</t>
        </is>
      </c>
      <c r="F61" s="10" t="inlineStr">
        <is>
          <t>Asymptote à une courbe y = f(x)</t>
        </is>
      </c>
      <c r="G61" s="9" t="inlineStr">
        <is>
          <t>Si $f(x)-g(x)\to0$ quand $x\to a$, les courbes de $f$ et $g$ sont asymptotes en $a$.</t>
        </is>
      </c>
      <c r="H61" s="9" t="inlineStr">
        <is>
          <t>« Asymptotes verticales et horizontales » ; « asymptotes obliques seront étudiées » ultérieurement.</t>
        </is>
      </c>
      <c r="I61" s="9" t="n">
        <v>51</v>
      </c>
      <c r="J61" s="9" t="inlineStr"/>
      <c r="K61" s="11" t="n"/>
      <c r="L61" s="11" t="n"/>
    </row>
    <row r="62">
      <c r="A62" s="9" t="inlineStr">
        <is>
          <t>M061</t>
        </is>
      </c>
      <c r="B62" s="10" t="inlineStr">
        <is>
          <t>Noir – conforme</t>
        </is>
      </c>
      <c r="C62" s="9" t="inlineStr">
        <is>
          <t>BCPST1</t>
        </is>
      </c>
      <c r="D62" s="9" t="inlineStr">
        <is>
          <t>BCPST1 · Analyse 2 – Fonctions réelles usuelles</t>
        </is>
      </c>
      <c r="E62" s="9" t="inlineStr">
        <is>
          <t>Propriété</t>
        </is>
      </c>
      <c r="F62" s="10" t="inlineStr">
        <is>
          <t>Asymptote verticale</t>
        </is>
      </c>
      <c r="G62" s="9" t="inlineStr">
        <is>
          <t>Si $f\to\pm\infty$ en $a^+$ ou $a^-$, la droite $x=a$ est asymptote verticale.</t>
        </is>
      </c>
      <c r="H62" s="9" t="inlineStr">
        <is>
          <t>« Asymptotes verticales et horizontales, tracé du graphe. »</t>
        </is>
      </c>
      <c r="I62" s="9" t="n">
        <v>51</v>
      </c>
      <c r="J62" s="9" t="inlineStr"/>
      <c r="K62" s="11" t="n"/>
      <c r="L62" s="11" t="n"/>
    </row>
    <row r="63">
      <c r="A63" s="9" t="inlineStr">
        <is>
          <t>M062</t>
        </is>
      </c>
      <c r="B63" s="10" t="inlineStr">
        <is>
          <t>Noir – conforme</t>
        </is>
      </c>
      <c r="C63" s="9" t="inlineStr">
        <is>
          <t>BCPST1</t>
        </is>
      </c>
      <c r="D63" s="9" t="inlineStr">
        <is>
          <t>BCPST1 · Analyse 2 – Fonctions réelles usuelles</t>
        </is>
      </c>
      <c r="E63" s="9" t="inlineStr">
        <is>
          <t>Propriété</t>
        </is>
      </c>
      <c r="F63" s="10" t="inlineStr">
        <is>
          <t>Asymptote horizontale</t>
        </is>
      </c>
      <c r="G63" s="9" t="inlineStr">
        <is>
          <t>Si $f\to b$ en $+\infty$ ou $-\infty$, la droite $y=b$ est asymptote horizontale.</t>
        </is>
      </c>
      <c r="H63" s="9" t="inlineStr">
        <is>
          <t>« Asymptotes verticales et horizontales, tracé du graphe. »</t>
        </is>
      </c>
      <c r="I63" s="9" t="n">
        <v>51</v>
      </c>
      <c r="J63" s="9" t="inlineStr"/>
      <c r="K63" s="11" t="n"/>
      <c r="L63" s="11" t="n"/>
    </row>
    <row r="64">
      <c r="A64" s="15" t="inlineStr">
        <is>
          <t>M063</t>
        </is>
      </c>
      <c r="B64" s="16" t="inlineStr">
        <is>
          <t>Rouge – hors programme</t>
        </is>
      </c>
      <c r="C64" s="15" t="inlineStr">
        <is>
          <t>BCPST1</t>
        </is>
      </c>
      <c r="D64" s="15" t="inlineStr">
        <is>
          <t>BCPST1 · Analyse 2 – Fonctions réelles usuelles</t>
        </is>
      </c>
      <c r="E64" s="15" t="inlineStr">
        <is>
          <t>Formulaire</t>
        </is>
      </c>
      <c r="F64" s="16" t="inlineStr">
        <is>
          <t>Primitives usuelles : fonctions hyperboliques</t>
        </is>
      </c>
      <c r="G64" s="15" t="inlineStr">
        <is>
          <t>$\int\mathrm{ch}=\mathrm{sh}$ ; $\int\mathrm{sh}=\mathrm{ch}$ ; $\int\frac{dt}{\mathrm{ch}^2t}=\mathrm{th}\,t$ ; $\int\mathrm{th}\,t\,dt=\ln\mathrm{ch}\,t$ ; $\int\frac{dt}{\mathrm{ch}\,t}=2\arctan e^t$ ; $\int\frac{dt}{\mathrm{sh}^2t}=-\coth t$ ; $\int\frac{dt}{\mathrm{sh}\,t}=\ln|\mathrm{th}\frac t2|$ ; $\int\coth t\,dt=\ln|\mathrm{sh}\,t|$.</t>
        </is>
      </c>
      <c r="H64" s="15" t="inlineStr">
        <is>
          <t>« Les fonctions hyperboliques sont hors programme. »</t>
        </is>
      </c>
      <c r="I64" s="15" t="n">
        <v>98</v>
      </c>
      <c r="J64" s="15" t="inlineStr">
        <is>
          <t>Tableau d'annexe : intitulé créé par moi</t>
        </is>
      </c>
      <c r="K64" s="17" t="n"/>
      <c r="L64" s="17" t="n"/>
    </row>
    <row r="65">
      <c r="A65" s="15" t="inlineStr">
        <is>
          <t>M064</t>
        </is>
      </c>
      <c r="B65" s="16" t="inlineStr">
        <is>
          <t>Rouge – hors programme</t>
        </is>
      </c>
      <c r="C65" s="15" t="inlineStr">
        <is>
          <t>BCPST1</t>
        </is>
      </c>
      <c r="D65" s="15" t="inlineStr">
        <is>
          <t>BCPST1 · Analyse 2 – Fonctions réelles usuelles</t>
        </is>
      </c>
      <c r="E65" s="15" t="inlineStr">
        <is>
          <t>Formulaire</t>
        </is>
      </c>
      <c r="F65" s="16" t="inlineStr">
        <is>
          <t>DL usuels : ch, sh</t>
        </is>
      </c>
      <c r="G65" s="15" t="inlineStr">
        <is>
          <t>$\mathrm{ch}\,x=\sum_{k=0}^n\frac{x^{2k}}{(2k)!}+o(x^{2n+1})$ ; $\mathrm{sh}\,x=\sum_{k=0}^n\frac{x^{2k+1}}{(2k+1)!}+o(x^{2n+2})$.</t>
        </is>
      </c>
      <c r="H65" s="15" t="inlineStr">
        <is>
          <t>« Les fonctions hyperboliques sont hors programme. »</t>
        </is>
      </c>
      <c r="I65" s="15" t="n">
        <v>100</v>
      </c>
      <c r="J65" s="15" t="inlineStr">
        <is>
          <t>Cadre découpé</t>
        </is>
      </c>
      <c r="K65" s="17" t="n"/>
      <c r="L65" s="17" t="n"/>
    </row>
    <row r="66">
      <c r="A66" s="15" t="inlineStr">
        <is>
          <t>M065</t>
        </is>
      </c>
      <c r="B66" s="16" t="inlineStr">
        <is>
          <t>Rouge – hors programme</t>
        </is>
      </c>
      <c r="C66" s="15" t="inlineStr">
        <is>
          <t>BCPST1</t>
        </is>
      </c>
      <c r="D66" s="15" t="inlineStr">
        <is>
          <t>BCPST1 · Analyse 2 – Fonctions réelles usuelles</t>
        </is>
      </c>
      <c r="E66" s="15" t="inlineStr">
        <is>
          <t>Formulaire</t>
        </is>
      </c>
      <c r="F66" s="16" t="inlineStr">
        <is>
          <t>DL usuel : th</t>
        </is>
      </c>
      <c r="G66" s="15" t="inlineStr">
        <is>
          <t>$\mathrm{th}\,x=x-\frac{x^3}3+\frac2{15}x^5+o(x^5)$.</t>
        </is>
      </c>
      <c r="H66" s="15" t="inlineStr">
        <is>
          <t>« Les fonctions hyperboliques sont hors programme. »</t>
        </is>
      </c>
      <c r="I66" s="15" t="n">
        <v>100</v>
      </c>
      <c r="J66" s="15" t="inlineStr">
        <is>
          <t>Fiche détachée d'un cadre de l'ouvrage (contenu partiellement hors programme)</t>
        </is>
      </c>
      <c r="K66" s="17" t="n"/>
      <c r="L66" s="17" t="n"/>
    </row>
    <row r="67">
      <c r="A67" s="15" t="inlineStr">
        <is>
          <t>M066</t>
        </is>
      </c>
      <c r="B67" s="16" t="inlineStr">
        <is>
          <t>Rouge – hors programme</t>
        </is>
      </c>
      <c r="C67" s="15" t="inlineStr">
        <is>
          <t>BCPST1</t>
        </is>
      </c>
      <c r="D67" s="15" t="inlineStr">
        <is>
          <t>BCPST1 · Analyse 2 – Fonctions réelles usuelles</t>
        </is>
      </c>
      <c r="E67" s="15" t="inlineStr">
        <is>
          <t>Formulaire</t>
        </is>
      </c>
      <c r="F67" s="16" t="inlineStr">
        <is>
          <t>DL usuels : Argsh, Argth</t>
        </is>
      </c>
      <c r="G67" s="15" t="inlineStr">
        <is>
          <t>$\mathrm{Argsh}\,x=x-\frac{x^3}6+o(x^3)$ ; $\mathrm{Argth}\,x=\sum_{k=0}^n\frac{x^{2k+1}}{2k+1}+o(x^{2n+2})$.</t>
        </is>
      </c>
      <c r="H67" s="15" t="inlineStr">
        <is>
          <t>« Les fonctions hyperboliques sont hors programme. »</t>
        </is>
      </c>
      <c r="I67" s="15" t="n">
        <v>101</v>
      </c>
      <c r="J67" s="15" t="inlineStr">
        <is>
          <t>Cadre découpé</t>
        </is>
      </c>
      <c r="K67" s="17" t="n"/>
      <c r="L67" s="17" t="n"/>
    </row>
    <row r="68">
      <c r="A68" s="15" t="inlineStr">
        <is>
          <t>M067</t>
        </is>
      </c>
      <c r="B68" s="16" t="inlineStr">
        <is>
          <t>Rouge – hors programme</t>
        </is>
      </c>
      <c r="C68" s="15" t="inlineStr">
        <is>
          <t>BCPST1</t>
        </is>
      </c>
      <c r="D68" s="15" t="inlineStr">
        <is>
          <t>BCPST1 · Analyse 2 – Fonctions réelles usuelles</t>
        </is>
      </c>
      <c r="E68" s="15" t="inlineStr">
        <is>
          <t>Formulaire</t>
        </is>
      </c>
      <c r="F68" s="16" t="inlineStr">
        <is>
          <t>Trigonométrie hyperbolique</t>
        </is>
      </c>
      <c r="G68" s="15" t="inlineStr">
        <is>
          <t>$\mathrm{ch}\,x=\frac{e^x+e^{-x}}2$, $\mathrm{sh}\,x=\frac{e^x-e^{-x}}2$ ; $\mathrm{ch}^2x-\mathrm{sh}^2x=1$ ; formules d'addition : $\mathrm{ch}(a+b)=\mathrm{ch}\,a\,\mathrm{ch}\,b+\mathrm{sh}\,a\,\mathrm{sh}\,b$, $\mathrm{sh}(a+b)=\mathrm{sh}\,a\,\mathrm{ch}\,b+\mathrm{ch}\,a\,\mathrm{sh}\,b$, $\mathrm{th}(a-b)=\frac{\mathrm{th}\,a-\mathrm{th}\,b}{1-\mathrm{th}\,a\,\mathrm{th}\,b}$.</t>
        </is>
      </c>
      <c r="H68" s="15" t="inlineStr">
        <is>
          <t>« Les fonctions hyperboliques sont hors programme. »</t>
        </is>
      </c>
      <c r="I68" s="15" t="n">
        <v>104</v>
      </c>
      <c r="J68" s="15" t="inlineStr">
        <is>
          <t>ERREUR DANS L'OUVRAGE : $\mathrm{th}(a-b)$ a pour numérateur $\mathrm{th}\,a-\mathrm{th}\,b$ (l'ouvrage écrit $+$)</t>
        </is>
      </c>
      <c r="K68" s="17" t="n"/>
      <c r="L68" s="17" t="n"/>
    </row>
    <row r="69">
      <c r="A69" s="9" t="inlineStr">
        <is>
          <t>M068</t>
        </is>
      </c>
      <c r="B69" s="10" t="inlineStr">
        <is>
          <t>Noir – conforme</t>
        </is>
      </c>
      <c r="C69" s="9" t="inlineStr">
        <is>
          <t>BCPST1</t>
        </is>
      </c>
      <c r="D69" s="9" t="inlineStr">
        <is>
          <t>BCPST1 · Analyse 3 – Dérivées, primitives, intégrales</t>
        </is>
      </c>
      <c r="E69" s="9" t="inlineStr">
        <is>
          <t>Formulaire</t>
        </is>
      </c>
      <c r="F69" s="10" t="inlineStr">
        <is>
          <t>Primitives usuelles : fonctions puissances, exponentielles, logarithme</t>
        </is>
      </c>
      <c r="G69" s="9" t="inlineStr">
        <is>
          <t>$\int t^\alpha dt=\frac{t^{\alpha+1}}{\alpha+1}$ ($\alpha\neq-1$) ; $\int\frac{dt}t=\ln|t|$ ; $\int e^{mt}dt=\frac1me^{mt}$ ($m\in\mathbb C^*$) ; $\int a^tdt=\frac{a^t}{\ln a}$.</t>
        </is>
      </c>
      <c r="H69" s="9" t="inlineStr">
        <is>
          <t>« Primitives usuelles … Primitives de u'e^u, u'uⁿ, u'/u … » ; A2 : « Fonctions exponentielles x ↦ a^x » ; A4 : primitive de t ↦ e^{iωt}.</t>
        </is>
      </c>
      <c r="I69" s="9" t="n">
        <v>98</v>
      </c>
      <c r="J69" s="9" t="inlineStr">
        <is>
          <t>Tableau d'annexe (pas de cadre bleu titré) : intitulé créé par moi</t>
        </is>
      </c>
      <c r="K69" s="11" t="n"/>
      <c r="L69" s="11" t="n"/>
    </row>
    <row r="70">
      <c r="A70" s="9" t="inlineStr">
        <is>
          <t>M069</t>
        </is>
      </c>
      <c r="B70" s="10" t="inlineStr">
        <is>
          <t>Noir – conforme</t>
        </is>
      </c>
      <c r="C70" s="9" t="inlineStr">
        <is>
          <t>BCPST1</t>
        </is>
      </c>
      <c r="D70" s="9" t="inlineStr">
        <is>
          <t>BCPST1 · Analyse 3 – Dérivées, primitives, intégrales</t>
        </is>
      </c>
      <c r="E70" s="9" t="inlineStr">
        <is>
          <t>Formulaire</t>
        </is>
      </c>
      <c r="F70" s="10" t="inlineStr">
        <is>
          <t>Primitives usuelles : fonctions trigonométriques</t>
        </is>
      </c>
      <c r="G70" s="9" t="inlineStr">
        <is>
          <t>$\int\cos t\,dt=\sin t$ ; $\int\sin t\,dt=-\cos t$ ; $\int\frac{dt}{\cos^2t}=\tan t$ ; $\int\tan t\,dt=-\ln|\cos t|$ (à une constante près).</t>
        </is>
      </c>
      <c r="H70" s="9" t="inlineStr">
        <is>
          <t>« Primitives de … u' sin u, u' cos u » ; A2 : « tan' = 1 + tan² = 1/cos² » ; tan = −(cos)'/cos est du type u'/u.</t>
        </is>
      </c>
      <c r="I70" s="9" t="n">
        <v>98</v>
      </c>
      <c r="J70" s="9" t="inlineStr">
        <is>
          <t>Tableau d'annexe : intitulé créé par moi ; primitives non usuelles en BCPST placées dans une fiche séparée</t>
        </is>
      </c>
      <c r="K70" s="11" t="n"/>
      <c r="L70" s="11" t="n"/>
    </row>
    <row r="71">
      <c r="A71" s="12" t="inlineStr">
        <is>
          <t>M070</t>
        </is>
      </c>
      <c r="B71" s="13" t="inlineStr">
        <is>
          <t>Orange – incertain</t>
        </is>
      </c>
      <c r="C71" s="12" t="inlineStr">
        <is>
          <t>BCPST1</t>
        </is>
      </c>
      <c r="D71" s="12" t="inlineStr">
        <is>
          <t>BCPST1 · Analyse 3 – Dérivées, primitives, intégrales</t>
        </is>
      </c>
      <c r="E71" s="12" t="inlineStr">
        <is>
          <t>Formulaire</t>
        </is>
      </c>
      <c r="F71" s="13" t="inlineStr">
        <is>
          <t>Primitives de 1/cos, 1/sin, 1/sin² et cot</t>
        </is>
      </c>
      <c r="G71" s="12" t="inlineStr">
        <is>
          <t>$\int\frac{dt}{\cos t}=\ln\left|\tan\left(\frac t2+\frac\pi4\right)\right|$ ; $\int\frac{dt}{\sin t}=\ln\left|\tan\frac t2\right|$ ; $\int\frac{dt}{\sin^2t}=-\cot t$ ; $\int\cot t\,dt=\ln|\sin t|$.</t>
        </is>
      </c>
      <c r="H71" s="12" t="inlineStr">
        <is>
          <t>Hors de la liste des primitives du programme (u'eᵘ, u'uⁿ, u'/u, u'/√u, u' sin u, u' cos u) ; la cotangente relève des « autres formules de trigonométrie [qui] ne sont pas des attendus ».</t>
        </is>
      </c>
      <c r="I71" s="12" t="n">
        <v>98</v>
      </c>
      <c r="J71" s="12" t="inlineStr">
        <is>
          <t>Fiche détachée d'un cadre de l'ouvrage (contenu partiellement hors programme)</t>
        </is>
      </c>
      <c r="K71" s="14" t="n"/>
      <c r="L71" s="14" t="n"/>
    </row>
    <row r="72">
      <c r="A72" s="12" t="inlineStr">
        <is>
          <t>M071</t>
        </is>
      </c>
      <c r="B72" s="13" t="inlineStr">
        <is>
          <t>Orange – incertain</t>
        </is>
      </c>
      <c r="C72" s="12" t="inlineStr">
        <is>
          <t>BCPST1</t>
        </is>
      </c>
      <c r="D72" s="12" t="inlineStr">
        <is>
          <t>BCPST1 · Analyse 3 – Dérivées, primitives, intégrales</t>
        </is>
      </c>
      <c r="E72" s="12" t="inlineStr">
        <is>
          <t>Formulaire</t>
        </is>
      </c>
      <c r="F72" s="13" t="inlineStr">
        <is>
          <t>Primitives de 1/√(a²−t²), 1/√(t²+b), 1/(t²−a²)</t>
        </is>
      </c>
      <c r="G72" s="12" t="inlineStr">
        <is>
          <t>$\int\frac{dt}{\sqrt{a^2-t^2}}=\arcsin\frac t{|a|}$ sur $]-|a|,|a|[$ ; $\int\frac{dt}{\sqrt{t^2+b}}=\ln\left|t+\sqrt{t^2+b}\right|$ ; $\int\frac{dt}{t^2-a^2}=\frac1{2a}\ln\left|\frac{t-a}{t+a}\right|$.</t>
        </is>
      </c>
      <c r="H72" s="12" t="inlineStr">
        <is>
          <t>Hors de la liste des primitives du programme ; Arcsin non construite (« pas un attendu ») ; « fraction rationnelle » hors programme en BCPST1. Les formes en Argsh / Argch / Argth de l'ouvrage relèvent des fonctions hyperboliques, hors programme.</t>
        </is>
      </c>
      <c r="I72" s="12" t="n">
        <v>99</v>
      </c>
      <c r="J72" s="12" t="inlineStr">
        <is>
          <t>Fiche détachée d'un cadre de l'ouvrage (contenu partiellement hors programme)</t>
        </is>
      </c>
      <c r="K72" s="14" t="n"/>
      <c r="L72" s="14" t="n"/>
    </row>
    <row r="73">
      <c r="A73" s="12" t="inlineStr">
        <is>
          <t>M072</t>
        </is>
      </c>
      <c r="B73" s="13" t="inlineStr">
        <is>
          <t>Orange – incertain</t>
        </is>
      </c>
      <c r="C73" s="12" t="inlineStr">
        <is>
          <t>BCPST1</t>
        </is>
      </c>
      <c r="D73" s="12" t="inlineStr">
        <is>
          <t>BCPST1 · Analyse 4 – Équations différentielles linéaires</t>
        </is>
      </c>
      <c r="E73" s="12" t="inlineStr">
        <is>
          <t>Définition</t>
        </is>
      </c>
      <c r="F73" s="13" t="inlineStr">
        <is>
          <t>Intégrale d'une fonction à valeurs complexes – Définition</t>
        </is>
      </c>
      <c r="G73" s="12" t="inlineStr">
        <is>
          <t>$\int_a^bf(t)\,dt=\int_a^b\mathrm{Re}f(t)\,dt+i\int_a^b\mathrm{Im}f(t)\,dt$.</t>
        </is>
      </c>
      <c r="H73" s="12" t="inlineStr">
        <is>
          <t>Non défini comme tel ; seule mention : « dériver et chercher une primitive à t ↦ e^{iωt} ».</t>
        </is>
      </c>
      <c r="I73" s="12" t="n">
        <v>40</v>
      </c>
      <c r="J73" s="12" t="inlineStr"/>
      <c r="K73" s="14" t="n"/>
      <c r="L73" s="14" t="n"/>
    </row>
    <row r="74">
      <c r="A74" s="9" t="inlineStr">
        <is>
          <t>M073</t>
        </is>
      </c>
      <c r="B74" s="10" t="inlineStr">
        <is>
          <t>Noir – conforme</t>
        </is>
      </c>
      <c r="C74" s="9" t="inlineStr">
        <is>
          <t>BCPST1</t>
        </is>
      </c>
      <c r="D74" s="9" t="inlineStr">
        <is>
          <t>BCPST1 · Analyse 4 – Équations différentielles linéaires</t>
        </is>
      </c>
      <c r="E74" s="9" t="inlineStr">
        <is>
          <t>Définition</t>
        </is>
      </c>
      <c r="F74" s="10" t="inlineStr">
        <is>
          <t>Équations différentielles linéaires du premier ordre</t>
        </is>
      </c>
      <c r="G74" s="9" t="inlineStr">
        <is>
          <t>$\alpha y'+\beta y=\gamma$ ($\alpha,\beta,\gamma$ continues sur $I$) ; une solution sur $J$ est une fonction dérivable sur $J$ qui vérifie l'équation en tout point.</t>
        </is>
      </c>
      <c r="H74" s="9" t="inlineStr">
        <is>
          <t>« Résolution de y' + a(t)y = f(t) … Pour toute autre équation différentielle du premier ordre, une méthode de résolution doit être fournie. »</t>
        </is>
      </c>
      <c r="I74" s="9" t="n">
        <v>42</v>
      </c>
      <c r="J74" s="9" t="inlineStr"/>
      <c r="K74" s="11" t="n"/>
      <c r="L74" s="11" t="n"/>
    </row>
    <row r="75">
      <c r="A75" s="12" t="inlineStr">
        <is>
          <t>M074</t>
        </is>
      </c>
      <c r="B75" s="13" t="inlineStr">
        <is>
          <t>Orange – incertain</t>
        </is>
      </c>
      <c r="C75" s="12" t="inlineStr">
        <is>
          <t>BCPST1</t>
        </is>
      </c>
      <c r="D75" s="12" t="inlineStr">
        <is>
          <t>BCPST1 · Analyse 4 – Équations différentielles linéaires</t>
        </is>
      </c>
      <c r="E75" s="12" t="inlineStr">
        <is>
          <t>Définition</t>
        </is>
      </c>
      <c r="F75" s="13" t="inlineStr">
        <is>
          <t>Équation résolue</t>
        </is>
      </c>
      <c r="G75" s="12" t="inlineStr">
        <is>
          <t>L'équation $\alpha y'+\beta y=\gamma$ est dite normalisée (résolue en $y'$) si $\alpha=1$.</t>
        </is>
      </c>
      <c r="H75" s="12" t="inlineStr">
        <is>
          <t>Vocabulaire « équation résolue / normalisée » absent ; le programme part directement de y' + a(t)y = f(t).</t>
        </is>
      </c>
      <c r="I75" s="12" t="n">
        <v>43</v>
      </c>
      <c r="J75" s="12" t="inlineStr"/>
      <c r="K75" s="14" t="n"/>
      <c r="L75" s="14" t="n"/>
    </row>
    <row r="76">
      <c r="A76" s="9" t="inlineStr">
        <is>
          <t>M075</t>
        </is>
      </c>
      <c r="B76" s="10" t="inlineStr">
        <is>
          <t>Noir – conforme</t>
        </is>
      </c>
      <c r="C76" s="9" t="inlineStr">
        <is>
          <t>BCPST1</t>
        </is>
      </c>
      <c r="D76" s="9" t="inlineStr">
        <is>
          <t>BCPST1 · Analyse 4 – Équations différentielles linéaires</t>
        </is>
      </c>
      <c r="E76" s="9" t="inlineStr">
        <is>
          <t>Théorème</t>
        </is>
      </c>
      <c r="F76" s="10" t="inlineStr">
        <is>
          <t>Solution d'une équation différentielle linéaire du premier ordre</t>
        </is>
      </c>
      <c r="G76" s="9" t="inlineStr">
        <is>
          <t>Pour $y'+\beta y=\gamma$, avec $A$ une primitive de $\beta$ et $B$ une primitive de $\gamma e^{A}$ : solutions $y=\lambda e^{-A}+Be^{-A}$, $\lambda\in\mathbb K$. Solution générale = solution générale homogène + solution particulière.</t>
        </is>
      </c>
      <c r="H76" s="9" t="inlineStr">
        <is>
          <t>« résolution de l'équation homogène associée … principe de superposition. »</t>
        </is>
      </c>
      <c r="I76" s="9" t="n">
        <v>43</v>
      </c>
      <c r="J76" s="9" t="inlineStr"/>
      <c r="K76" s="11" t="n"/>
      <c r="L76" s="11" t="n"/>
    </row>
    <row r="77">
      <c r="A77" s="9" t="inlineStr">
        <is>
          <t>M076</t>
        </is>
      </c>
      <c r="B77" s="10" t="inlineStr">
        <is>
          <t>Noir – conforme</t>
        </is>
      </c>
      <c r="C77" s="9" t="inlineStr">
        <is>
          <t>BCPST1</t>
        </is>
      </c>
      <c r="D77" s="9" t="inlineStr">
        <is>
          <t>BCPST1 · Analyse 4 – Équations différentielles linéaires</t>
        </is>
      </c>
      <c r="E77" s="9" t="inlineStr">
        <is>
          <t>Méthode</t>
        </is>
      </c>
      <c r="F77" s="10" t="inlineStr">
        <is>
          <t>Méthode de résolution de (E)</t>
        </is>
      </c>
      <c r="G77" s="9" t="inlineStr">
        <is>
          <t>1) Résoudre l'équation homogène : $y=\lambda y_0$. 2) Chercher une solution particulière par variation de la constante ($y=\lambda(x)y_0(x)$).</t>
        </is>
      </c>
      <c r="H77" s="9" t="inlineStr">
        <is>
          <t>« méthode de variation de la constante ».</t>
        </is>
      </c>
      <c r="I77" s="9" t="n">
        <v>43</v>
      </c>
      <c r="J77" s="9" t="inlineStr"/>
      <c r="K77" s="11" t="n"/>
      <c r="L77" s="11" t="n"/>
    </row>
    <row r="78">
      <c r="A78" s="9" t="inlineStr">
        <is>
          <t>M077</t>
        </is>
      </c>
      <c r="B78" s="10" t="inlineStr">
        <is>
          <t>Noir – conforme</t>
        </is>
      </c>
      <c r="C78" s="9" t="inlineStr">
        <is>
          <t>BCPST1</t>
        </is>
      </c>
      <c r="D78" s="9" t="inlineStr">
        <is>
          <t>BCPST1 · Analyse 4 – Équations différentielles linéaires</t>
        </is>
      </c>
      <c r="E78" s="9" t="inlineStr">
        <is>
          <t>Théorème</t>
        </is>
      </c>
      <c r="F78" s="10" t="inlineStr">
        <is>
          <t>Équation différentielle du second ordre à coefficients constants</t>
        </is>
      </c>
      <c r="G78" s="9" t="inlineStr">
        <is>
          <t>$y''+\beta y'+\gamma y=0$, équation caractéristique $r^2+\beta r+\gamma=0$ : deux racines distinctes $r_1,r_2$ : $\lambda_1e^{r_1x}+\lambda_2e^{r_2x}$ ; racine double $r$ : $(\lambda x+\mu)e^{rx}$ ; racines complexes $a\pm ib$ (cas réel) : $(\lambda\cos bx+\mu\sin bx)e^{ax}$.</t>
        </is>
      </c>
      <c r="H78" s="9" t="inlineStr">
        <is>
          <t>« Résolution de ay'' + by' + cy = f(t) … La résolution de l'équation homogène se fera à l'aide de l'équation caractéristique. »</t>
        </is>
      </c>
      <c r="I78" s="9" t="n">
        <v>43</v>
      </c>
      <c r="J78" s="9" t="inlineStr"/>
      <c r="K78" s="11" t="n"/>
      <c r="L78" s="11" t="n"/>
    </row>
    <row r="79">
      <c r="A79" s="12" t="inlineStr">
        <is>
          <t>M078</t>
        </is>
      </c>
      <c r="B79" s="13" t="inlineStr">
        <is>
          <t>Orange – incertain</t>
        </is>
      </c>
      <c r="C79" s="12" t="inlineStr">
        <is>
          <t>BCPST1</t>
        </is>
      </c>
      <c r="D79" s="12" t="inlineStr">
        <is>
          <t>BCPST1 · Analyse 4 – Équations différentielles linéaires</t>
        </is>
      </c>
      <c r="E79" s="12" t="inlineStr">
        <is>
          <t>Propriété</t>
        </is>
      </c>
      <c r="F79" s="13" t="inlineStr">
        <is>
          <t>Équation du second ordre avec second membre e^{mx}P(x)</t>
        </is>
      </c>
      <c r="G79" s="12" t="inlineStr">
        <is>
          <t>$y''+\beta y'+\gamma y=e^{mx}P(x)$ admet une solution $e^{mx}S(x)$, $S$ polynôme, avec $\deg S=\deg P$ si $m$ n'est pas racine caractéristique, $\deg P+1$ si racine simple, $\deg P+2$ si racine double.</t>
        </is>
      </c>
      <c r="H79" s="12" t="inlineStr">
        <is>
          <t>Au programme mais NON à mémoriser : « La forme d'une solution particulière est donnée sauf lorsque f est une fonction constante. »</t>
        </is>
      </c>
      <c r="I79" s="12" t="n">
        <v>44</v>
      </c>
      <c r="J79" s="12" t="inlineStr"/>
      <c r="K79" s="14" t="n"/>
      <c r="L79" s="14" t="n"/>
    </row>
    <row r="80">
      <c r="A80" s="9" t="inlineStr">
        <is>
          <t>M079</t>
        </is>
      </c>
      <c r="B80" s="10" t="inlineStr">
        <is>
          <t>Noir – conforme</t>
        </is>
      </c>
      <c r="C80" s="9" t="inlineStr">
        <is>
          <t>BCPST1</t>
        </is>
      </c>
      <c r="D80" s="9" t="inlineStr">
        <is>
          <t>BCPST1 · Algèbre linéaire 1 – Systèmes linéaires</t>
        </is>
      </c>
      <c r="E80" s="9" t="inlineStr">
        <is>
          <t>Propriété</t>
        </is>
      </c>
      <c r="F80" s="10" t="inlineStr">
        <is>
          <t>Système de Cramer</t>
        </is>
      </c>
      <c r="G80" s="9" t="inlineStr">
        <is>
          <t>Système carré avec $n=p=\mathrm{rg}A$ (i.e. $A$ inversible) : il admet une unique solution.</t>
        </is>
      </c>
      <c r="H80" s="9" t="inlineStr">
        <is>
          <t>« Système compatible, système incompatible, système de Cramer. » NB : « les formules de Cramer … ne sont pas exigibles ».</t>
        </is>
      </c>
      <c r="I80" s="9" t="n">
        <v>13</v>
      </c>
      <c r="J80" s="9" t="inlineStr"/>
      <c r="K80" s="11" t="n"/>
      <c r="L80" s="11" t="n"/>
    </row>
    <row r="81">
      <c r="A81" s="9" t="inlineStr">
        <is>
          <t>M080</t>
        </is>
      </c>
      <c r="B81" s="10" t="inlineStr">
        <is>
          <t>Noir – conforme</t>
        </is>
      </c>
      <c r="C81" s="9" t="inlineStr">
        <is>
          <t>BCPST1</t>
        </is>
      </c>
      <c r="D81" s="9" t="inlineStr">
        <is>
          <t>BCPST1 · Algèbre linéaire 1 – Systèmes linéaires</t>
        </is>
      </c>
      <c r="E81" s="9" t="inlineStr">
        <is>
          <t>Définition</t>
        </is>
      </c>
      <c r="F81" s="10" t="inlineStr">
        <is>
          <t>Rang d'un système linéaire</t>
        </is>
      </c>
      <c r="G81" s="9" t="inlineStr">
        <is>
          <t>Le rang du système $(S)$ est le rang de sa matrice $A$.</t>
        </is>
      </c>
      <c r="H81" s="9" t="inlineStr">
        <is>
          <t>« Rang d'un système : c'est le rang de tout système échelonné équivalent. »</t>
        </is>
      </c>
      <c r="I81" s="9" t="n">
        <v>15</v>
      </c>
      <c r="J81" s="9" t="inlineStr"/>
      <c r="K81" s="11" t="n"/>
      <c r="L81" s="11" t="n"/>
    </row>
    <row r="82">
      <c r="A82" s="9" t="inlineStr">
        <is>
          <t>M081</t>
        </is>
      </c>
      <c r="B82" s="10" t="inlineStr">
        <is>
          <t>Noir – conforme</t>
        </is>
      </c>
      <c r="C82" s="9" t="inlineStr">
        <is>
          <t>BCPST1</t>
        </is>
      </c>
      <c r="D82" s="9" t="inlineStr">
        <is>
          <t>BCPST1 · Algèbre linéaire 1 – Systèmes linéaires</t>
        </is>
      </c>
      <c r="E82" s="9" t="inlineStr">
        <is>
          <t>Définition</t>
        </is>
      </c>
      <c r="F82" s="10" t="inlineStr">
        <is>
          <t>Opérations élémentaires sur les lignes – Définition</t>
        </is>
      </c>
      <c r="G82" s="9" t="inlineStr">
        <is>
          <t>$L_i\leftrightarrow L_j$ ; $L_i\leftarrow\alpha L_i$ ($\alpha\neq0$) ; $L_i\leftarrow L_i+\beta L_j$ ($j\neq i$).</t>
        </is>
      </c>
      <c r="H82" s="9" t="inlineStr">
        <is>
          <t>« Opérations élémentaires sur les lignes : Li ↔ Lj, Li ← Li + λLj, Li ← λLi. »</t>
        </is>
      </c>
      <c r="I82" s="9" t="n">
        <v>15</v>
      </c>
      <c r="J82" s="9" t="inlineStr"/>
      <c r="K82" s="11" t="n"/>
      <c r="L82" s="11" t="n"/>
    </row>
    <row r="83">
      <c r="A83" s="9" t="inlineStr">
        <is>
          <t>M082</t>
        </is>
      </c>
      <c r="B83" s="10" t="inlineStr">
        <is>
          <t>Noir – conforme</t>
        </is>
      </c>
      <c r="C83" s="9" t="inlineStr">
        <is>
          <t>BCPST1</t>
        </is>
      </c>
      <c r="D83" s="9" t="inlineStr">
        <is>
          <t>BCPST1 · Algèbre linéaire 1 – Systèmes linéaires</t>
        </is>
      </c>
      <c r="E83" s="9" t="inlineStr">
        <is>
          <t>Propriété</t>
        </is>
      </c>
      <c r="F83" s="10" t="inlineStr">
        <is>
          <t>Opérations élémentaires sur les lignes – Propriété</t>
        </is>
      </c>
      <c r="G83" s="9" t="inlineStr">
        <is>
          <t>Les opérations élémentaires sur les lignes ne changent ni le rang du système ni son ensemble de solutions.</t>
        </is>
      </c>
      <c r="H83" s="9" t="inlineStr">
        <is>
          <t>« Deux systèmes équivalents ont le même ensemble de solutions. »</t>
        </is>
      </c>
      <c r="I83" s="9" t="n">
        <v>15</v>
      </c>
      <c r="J83" s="9" t="inlineStr"/>
      <c r="K83" s="11" t="n"/>
      <c r="L83" s="11" t="n"/>
    </row>
    <row r="84">
      <c r="A84" s="9" t="inlineStr">
        <is>
          <t>M083</t>
        </is>
      </c>
      <c r="B84" s="10" t="inlineStr">
        <is>
          <t>Noir – conforme</t>
        </is>
      </c>
      <c r="C84" s="9" t="inlineStr">
        <is>
          <t>BCPST1</t>
        </is>
      </c>
      <c r="D84" s="9" t="inlineStr">
        <is>
          <t>BCPST1 · Algèbre linéaire 1 – Systèmes linéaires</t>
        </is>
      </c>
      <c r="E84" s="9" t="inlineStr">
        <is>
          <t>Méthode</t>
        </is>
      </c>
      <c r="F84" s="10" t="inlineStr">
        <is>
          <t>Forme réduite de Gauss d'un système linéaire</t>
        </is>
      </c>
      <c r="G84" s="9" t="inlineStr">
        <is>
          <t>Le pivot de Gauss transforme $(S)$ en un système équivalent échelonné, avec $r=\mathrm{rg}(S)$ pivots non nuls et des équations de compatibilité $0=b_{r+1},\dots,0=b_n$. Il permet de calculer le rang d'un système, d'une matrice, d'une application linéaire.</t>
        </is>
      </c>
      <c r="H84" s="9" t="inlineStr">
        <is>
          <t>« Détermination … d'un système échelonné équivalent par la méthode du pivot de Gauss. »</t>
        </is>
      </c>
      <c r="I84" s="9" t="n">
        <v>15</v>
      </c>
      <c r="J84" s="9" t="inlineStr">
        <is>
          <t>Cadre à cheval sur les pages 15 et 16</t>
        </is>
      </c>
      <c r="K84" s="11" t="n"/>
      <c r="L84" s="11" t="n"/>
    </row>
    <row r="85">
      <c r="A85" s="9" t="inlineStr">
        <is>
          <t>M084</t>
        </is>
      </c>
      <c r="B85" s="10" t="inlineStr">
        <is>
          <t>Noir – conforme</t>
        </is>
      </c>
      <c r="C85" s="9" t="inlineStr">
        <is>
          <t>BCPST1</t>
        </is>
      </c>
      <c r="D85" s="9" t="inlineStr">
        <is>
          <t>BCPST1 · Algèbre linéaire 1 – Systèmes linéaires</t>
        </is>
      </c>
      <c r="E85" s="9" t="inlineStr">
        <is>
          <t>Théorème</t>
        </is>
      </c>
      <c r="F85" s="10" t="inlineStr">
        <is>
          <t>Ensemble des solutions d'un système linéaire</t>
        </is>
      </c>
      <c r="G85" s="9" t="inlineStr">
        <is>
          <t>L'ensemble des solutions est vide, un singleton ou infini. Solution générale = solution particulière + solution générale du système homogène ; les solutions du système homogène forment un sous-espace de $\mathbb K^p$ de dimension $p-\mathrm{rg}(S)$.</t>
        </is>
      </c>
      <c r="H85" s="9" t="inlineStr">
        <is>
          <t>« un système linéaire a zéro, une seule ou une infinité de solutions ». La structure « solution particulière + homogène » et la dimension p − rg ne sont pas formulées ainsi.</t>
        </is>
      </c>
      <c r="I85" s="9" t="n">
        <v>16</v>
      </c>
      <c r="J85" s="9" t="inlineStr"/>
      <c r="K85" s="11" t="n"/>
      <c r="L85" s="11" t="n"/>
    </row>
    <row r="86">
      <c r="A86" s="9" t="inlineStr">
        <is>
          <t>M085</t>
        </is>
      </c>
      <c r="B86" s="10" t="inlineStr">
        <is>
          <t>Noir – conforme</t>
        </is>
      </c>
      <c r="C86" s="9" t="inlineStr">
        <is>
          <t>BCPST1</t>
        </is>
      </c>
      <c r="D86" s="9" t="inlineStr">
        <is>
          <t>BCPST1 · Algèbre linéaire 1 – Systèmes linéaires</t>
        </is>
      </c>
      <c r="E86" s="9" t="inlineStr">
        <is>
          <t>Propriété</t>
        </is>
      </c>
      <c r="F86" s="10" t="inlineStr">
        <is>
          <t>Intersection de deux droites</t>
        </is>
      </c>
      <c r="G86" s="9" t="inlineStr">
        <is>
          <t>L'intersection de deux droites du plan est vide, un point ou une droite.</t>
        </is>
      </c>
      <c r="H86" s="9" t="inlineStr">
        <is>
          <t>« On fait le lien avec les problèmes d'intersection de droites et de plans (dans le plan ou dans l'espace). »</t>
        </is>
      </c>
      <c r="I86" s="9" t="n">
        <v>57</v>
      </c>
      <c r="J86" s="9" t="inlineStr"/>
      <c r="K86" s="11" t="n"/>
      <c r="L86" s="11" t="n"/>
    </row>
    <row r="87">
      <c r="A87" s="9" t="inlineStr">
        <is>
          <t>M086</t>
        </is>
      </c>
      <c r="B87" s="10" t="inlineStr">
        <is>
          <t>Noir – conforme</t>
        </is>
      </c>
      <c r="C87" s="9" t="inlineStr">
        <is>
          <t>BCPST1</t>
        </is>
      </c>
      <c r="D87" s="9" t="inlineStr">
        <is>
          <t>BCPST1 · Algèbre linéaire 1 – Systèmes linéaires</t>
        </is>
      </c>
      <c r="E87" s="9" t="inlineStr">
        <is>
          <t>Propriété</t>
        </is>
      </c>
      <c r="F87" s="10" t="inlineStr">
        <is>
          <t>Intersection de deux plans</t>
        </is>
      </c>
      <c r="G87" s="9" t="inlineStr">
        <is>
          <t>L'intersection de deux plans est vide, une droite ou un plan.</t>
        </is>
      </c>
      <c r="H87" s="9" t="inlineStr">
        <is>
          <t>« On fait le lien avec les problèmes d'intersection de droites et de plans. »</t>
        </is>
      </c>
      <c r="I87" s="9" t="n">
        <v>66</v>
      </c>
      <c r="J87" s="9" t="inlineStr"/>
      <c r="K87" s="11" t="n"/>
      <c r="L87" s="11" t="n"/>
    </row>
    <row r="88">
      <c r="A88" s="9" t="inlineStr">
        <is>
          <t>M087</t>
        </is>
      </c>
      <c r="B88" s="10" t="inlineStr">
        <is>
          <t>Noir – conforme</t>
        </is>
      </c>
      <c r="C88" s="9" t="inlineStr">
        <is>
          <t>BCPST1</t>
        </is>
      </c>
      <c r="D88" s="9" t="inlineStr">
        <is>
          <t>BCPST1 · Algèbre linéaire 2 – Matrices</t>
        </is>
      </c>
      <c r="E88" s="9" t="inlineStr">
        <is>
          <t>Définition</t>
        </is>
      </c>
      <c r="F88" s="10" t="inlineStr">
        <is>
          <t>Matrice – Définition</t>
        </is>
      </c>
      <c r="G88" s="9" t="inlineStr">
        <is>
          <t>Une matrice à $m$ lignes et $n$ colonnes est une famille $(a_{ij})_{1\le i\le m,\,1\le j\le n}$ d'éléments de $\mathbb K$.</t>
        </is>
      </c>
      <c r="H88" s="9" t="inlineStr">
        <is>
          <t>« Matrices : définition, vocabulaire. »</t>
        </is>
      </c>
      <c r="I88" s="9" t="n">
        <v>12</v>
      </c>
      <c r="J88" s="9" t="inlineStr">
        <is>
          <t>Titre du cadre masqué sur la capture : intitulé reconstitué</t>
        </is>
      </c>
      <c r="K88" s="11" t="n"/>
      <c r="L88" s="11" t="n"/>
    </row>
    <row r="89">
      <c r="A89" s="9" t="inlineStr">
        <is>
          <t>M088</t>
        </is>
      </c>
      <c r="B89" s="10" t="inlineStr">
        <is>
          <t>Noir – conforme</t>
        </is>
      </c>
      <c r="C89" s="9" t="inlineStr">
        <is>
          <t>BCPST1</t>
        </is>
      </c>
      <c r="D89" s="9" t="inlineStr">
        <is>
          <t>BCPST1 · Algèbre linéaire 2 – Matrices</t>
        </is>
      </c>
      <c r="E89" s="9" t="inlineStr">
        <is>
          <t>Définition</t>
        </is>
      </c>
      <c r="F89" s="10" t="inlineStr">
        <is>
          <t>Système linéaire – Définition</t>
        </is>
      </c>
      <c r="G89" s="9" t="inlineStr">
        <is>
          <t>Un système de $n$ équations à $p$ inconnues $\sum_j a_{ij}x_j=b_i$ s'écrit $AX=B$ avec $A=(a_{ij})$, $X$ le vecteur inconnu et $B$ le second membre.</t>
        </is>
      </c>
      <c r="H89" s="9" t="inlineStr">
        <is>
          <t>« Écriture matricielle d'un système linéaire. » (AL1 : système de n équations à p inconnues)</t>
        </is>
      </c>
      <c r="I89" s="9" t="n">
        <v>13</v>
      </c>
      <c r="J89" s="9" t="inlineStr"/>
      <c r="K89" s="11" t="n"/>
      <c r="L89" s="11" t="n"/>
    </row>
    <row r="90">
      <c r="A90" s="9" t="inlineStr">
        <is>
          <t>M089</t>
        </is>
      </c>
      <c r="B90" s="10" t="inlineStr">
        <is>
          <t>Noir – conforme</t>
        </is>
      </c>
      <c r="C90" s="9" t="inlineStr">
        <is>
          <t>BCPST1</t>
        </is>
      </c>
      <c r="D90" s="9" t="inlineStr">
        <is>
          <t>BCPST1 · Algèbre linéaire 2 – Matrices</t>
        </is>
      </c>
      <c r="E90" s="9" t="inlineStr">
        <is>
          <t>Définition</t>
        </is>
      </c>
      <c r="F90" s="10" t="inlineStr">
        <is>
          <t>Somme de deux matrices</t>
        </is>
      </c>
      <c r="G90" s="9" t="inlineStr">
        <is>
          <t>$(M+N)_{ij}=m_{ij}+n_{ij}$.</t>
        </is>
      </c>
      <c r="H90" s="9" t="inlineStr">
        <is>
          <t>« Opérations sur les matrices : somme, produit par un scalaire, produit matriciel. »</t>
        </is>
      </c>
      <c r="I90" s="9" t="n">
        <v>13</v>
      </c>
      <c r="J90" s="9" t="inlineStr"/>
      <c r="K90" s="11" t="n"/>
      <c r="L90" s="11" t="n"/>
    </row>
    <row r="91">
      <c r="A91" s="9" t="inlineStr">
        <is>
          <t>M090</t>
        </is>
      </c>
      <c r="B91" s="10" t="inlineStr">
        <is>
          <t>Noir – conforme</t>
        </is>
      </c>
      <c r="C91" s="9" t="inlineStr">
        <is>
          <t>BCPST1</t>
        </is>
      </c>
      <c r="D91" s="9" t="inlineStr">
        <is>
          <t>BCPST1 · Algèbre linéaire 2 – Matrices</t>
        </is>
      </c>
      <c r="E91" s="9" t="inlineStr">
        <is>
          <t>Définition</t>
        </is>
      </c>
      <c r="F91" s="10" t="inlineStr">
        <is>
          <t>Produit d'une matrice par un scalaire</t>
        </is>
      </c>
      <c r="G91" s="9" t="inlineStr">
        <is>
          <t>$(\lambda N)_{ij}=\lambda\,n_{ij}$.</t>
        </is>
      </c>
      <c r="H91" s="9" t="inlineStr">
        <is>
          <t>« Opérations sur les matrices : somme, produit par un scalaire, produit matriciel. »</t>
        </is>
      </c>
      <c r="I91" s="9" t="n">
        <v>13</v>
      </c>
      <c r="J91" s="9" t="inlineStr"/>
      <c r="K91" s="11" t="n"/>
      <c r="L91" s="11" t="n"/>
    </row>
    <row r="92">
      <c r="A92" s="9" t="inlineStr">
        <is>
          <t>M091</t>
        </is>
      </c>
      <c r="B92" s="10" t="inlineStr">
        <is>
          <t>Noir – conforme</t>
        </is>
      </c>
      <c r="C92" s="9" t="inlineStr">
        <is>
          <t>BCPST1</t>
        </is>
      </c>
      <c r="D92" s="9" t="inlineStr">
        <is>
          <t>BCPST1 · Algèbre linéaire 2 – Matrices</t>
        </is>
      </c>
      <c r="E92" s="9" t="inlineStr">
        <is>
          <t>Définition</t>
        </is>
      </c>
      <c r="F92" s="10" t="inlineStr">
        <is>
          <t>Produit de matrices</t>
        </is>
      </c>
      <c r="G92" s="9" t="inlineStr">
        <is>
          <t>Pour $M\in\mathcal M_{m,p}$ et $N\in\mathcal M_{p,n}$ : $(MN)_{ij}=\sum_{k=1}^{p}m_{ik}n_{kj}$.</t>
        </is>
      </c>
      <c r="H92" s="9" t="inlineStr">
        <is>
          <t>« Opérations sur les matrices : somme, produit par un scalaire, produit matriciel. »</t>
        </is>
      </c>
      <c r="I92" s="9" t="n">
        <v>13</v>
      </c>
      <c r="J92" s="9" t="inlineStr"/>
      <c r="K92" s="11" t="n"/>
      <c r="L92" s="11" t="n"/>
    </row>
    <row r="93">
      <c r="A93" s="9" t="inlineStr">
        <is>
          <t>M092</t>
        </is>
      </c>
      <c r="B93" s="10" t="inlineStr">
        <is>
          <t>Noir – conforme</t>
        </is>
      </c>
      <c r="C93" s="9" t="inlineStr">
        <is>
          <t>BCPST1</t>
        </is>
      </c>
      <c r="D93" s="9" t="inlineStr">
        <is>
          <t>BCPST1 · Algèbre linéaire 2 – Matrices</t>
        </is>
      </c>
      <c r="E93" s="9" t="inlineStr">
        <is>
          <t>Propriété</t>
        </is>
      </c>
      <c r="F93" s="10" t="inlineStr">
        <is>
          <t>Propriétés des opérations sur les matrices</t>
        </is>
      </c>
      <c r="G93" s="9" t="inlineStr">
        <is>
          <t>$(M+N)P=MP+NP$ ; $(\mu M)(\lambda N)=\mu\lambda MN$ ; $(MN)P=M(NP)$. Attention : en général $MN\neq NM$.</t>
        </is>
      </c>
      <c r="H93" s="9" t="inlineStr">
        <is>
          <t>« Propriétés de ces opérations. »</t>
        </is>
      </c>
      <c r="I93" s="9" t="n">
        <v>14</v>
      </c>
      <c r="J93" s="9" t="inlineStr"/>
      <c r="K93" s="11" t="n"/>
      <c r="L93" s="11" t="n"/>
    </row>
    <row r="94">
      <c r="A94" s="9" t="inlineStr">
        <is>
          <t>M093</t>
        </is>
      </c>
      <c r="B94" s="10" t="inlineStr">
        <is>
          <t>Noir – conforme</t>
        </is>
      </c>
      <c r="C94" s="9" t="inlineStr">
        <is>
          <t>BCPST1</t>
        </is>
      </c>
      <c r="D94" s="9" t="inlineStr">
        <is>
          <t>BCPST1 · Algèbre linéaire 2 – Matrices</t>
        </is>
      </c>
      <c r="E94" s="9" t="inlineStr">
        <is>
          <t>Théorème</t>
        </is>
      </c>
      <c r="F94" s="10" t="inlineStr">
        <is>
          <t>Formule du binôme pour les matrices</t>
        </is>
      </c>
      <c r="G94" s="9" t="inlineStr">
        <is>
          <t>Si $AB=BA$ : $(A+B)^n=\sum_{k=0}^{n}\binom nk A^kB^{n-k}$.</t>
        </is>
      </c>
      <c r="H94" s="9" t="inlineStr">
        <is>
          <t>« Formule du binôme quand les deux matrices commutent. »</t>
        </is>
      </c>
      <c r="I94" s="9" t="n">
        <v>14</v>
      </c>
      <c r="J94" s="9" t="inlineStr"/>
      <c r="K94" s="11" t="n"/>
      <c r="L94" s="11" t="n"/>
    </row>
    <row r="95">
      <c r="A95" s="9" t="inlineStr">
        <is>
          <t>M094</t>
        </is>
      </c>
      <c r="B95" s="10" t="inlineStr">
        <is>
          <t>Noir – conforme</t>
        </is>
      </c>
      <c r="C95" s="9" t="inlineStr">
        <is>
          <t>BCPST1</t>
        </is>
      </c>
      <c r="D95" s="9" t="inlineStr">
        <is>
          <t>BCPST1 · Algèbre linéaire 2 – Matrices</t>
        </is>
      </c>
      <c r="E95" s="9" t="inlineStr">
        <is>
          <t>Propriété</t>
        </is>
      </c>
      <c r="F95" s="10" t="inlineStr">
        <is>
          <t>Transposée d'une matrice – Règles de calcul</t>
        </is>
      </c>
      <c r="G95" s="9" t="inlineStr">
        <is>
          <t>${}^t(A+\lambda B)={}^tA+\lambda\,{}^tB$ ; ${}^t(AB)={}^tB\,{}^tA$ ; ${}^t({}^tA)=A$ ; ${}^t(A^{-1})=({}^tA)^{-1}$ si $A$ inversible.</t>
        </is>
      </c>
      <c r="H95" s="9" t="inlineStr">
        <is>
          <t>« Transposée d'une somme, d'un produit de matrices … inverse de la transposée d'une matrice carrée inversible. » (notation Mᵀ dans le programme)</t>
        </is>
      </c>
      <c r="I95" s="9" t="n">
        <v>14</v>
      </c>
      <c r="J95" s="9" t="inlineStr">
        <is>
          <t>ERREUR PROBABLE DANS L'OUVRAGE : il écrit ${}^t(A+\lambda B)=\lambda{}^tA+{}^tB$ ; corrigé ici</t>
        </is>
      </c>
      <c r="K95" s="11" t="n"/>
      <c r="L95" s="11" t="n"/>
    </row>
    <row r="96">
      <c r="A96" s="9" t="inlineStr">
        <is>
          <t>M095</t>
        </is>
      </c>
      <c r="B96" s="10" t="inlineStr">
        <is>
          <t>Noir – conforme</t>
        </is>
      </c>
      <c r="C96" s="9" t="inlineStr">
        <is>
          <t>BCPST1</t>
        </is>
      </c>
      <c r="D96" s="9" t="inlineStr">
        <is>
          <t>BCPST1 · Algèbre linéaire 2 – Matrices</t>
        </is>
      </c>
      <c r="E96" s="9" t="inlineStr">
        <is>
          <t>Définition</t>
        </is>
      </c>
      <c r="F96" s="10" t="inlineStr">
        <is>
          <t>Matrices symétriques</t>
        </is>
      </c>
      <c r="G96" s="9" t="inlineStr">
        <is>
          <t>$M\in\mathcal M_n(\mathbb K)$ est symétrique si ${}^tM=M$ ; ensemble noté $\mathcal S_n(\mathbb K)$.</t>
        </is>
      </c>
      <c r="H96" s="9" t="inlineStr">
        <is>
          <t>« Matrices carrées symétriques. »</t>
        </is>
      </c>
      <c r="I96" s="9" t="n">
        <v>14</v>
      </c>
      <c r="J96" s="9" t="inlineStr"/>
      <c r="K96" s="11" t="n"/>
      <c r="L96" s="11" t="n"/>
    </row>
    <row r="97">
      <c r="A97" s="9" t="inlineStr">
        <is>
          <t>M096</t>
        </is>
      </c>
      <c r="B97" s="10" t="inlineStr">
        <is>
          <t>Noir – conforme</t>
        </is>
      </c>
      <c r="C97" s="9" t="inlineStr">
        <is>
          <t>BCPST1</t>
        </is>
      </c>
      <c r="D97" s="9" t="inlineStr">
        <is>
          <t>BCPST1 · Algèbre linéaire 2 – Matrices</t>
        </is>
      </c>
      <c r="E97" s="9" t="inlineStr">
        <is>
          <t>Définition</t>
        </is>
      </c>
      <c r="F97" s="10" t="inlineStr">
        <is>
          <t>Rang d'une matrice</t>
        </is>
      </c>
      <c r="G97" s="9" t="inlineStr">
        <is>
          <t>Le rang de $M\in\mathcal M_{n,p}(\mathbb K)$ est le rang de l'application linéaire canoniquement associée (= rang de la famille de ses colonnes).</t>
        </is>
      </c>
      <c r="H97" s="9" t="inlineStr">
        <is>
          <t>« Rang d'une matrice … défini comme le nombre de pivots. »</t>
        </is>
      </c>
      <c r="I97" s="9" t="n">
        <v>15</v>
      </c>
      <c r="J97" s="9" t="inlineStr"/>
      <c r="K97" s="11" t="n"/>
      <c r="L97" s="11" t="n"/>
    </row>
    <row r="98">
      <c r="A98" s="9" t="inlineStr">
        <is>
          <t>M097</t>
        </is>
      </c>
      <c r="B98" s="10" t="inlineStr">
        <is>
          <t>Noir – conforme</t>
        </is>
      </c>
      <c r="C98" s="9" t="inlineStr">
        <is>
          <t>BCPST1</t>
        </is>
      </c>
      <c r="D98" s="9" t="inlineStr">
        <is>
          <t>BCPST1 · Algèbre linéaire 2 – Matrices</t>
        </is>
      </c>
      <c r="E98" s="9" t="inlineStr">
        <is>
          <t>Propriété</t>
        </is>
      </c>
      <c r="F98" s="10" t="inlineStr">
        <is>
          <t>Rang de la transposée</t>
        </is>
      </c>
      <c r="G98" s="9" t="inlineStr">
        <is>
          <t>$\mathrm{rg}\,M=\mathrm{rg}\,{}^tM$.</t>
        </is>
      </c>
      <c r="H98" s="9" t="inlineStr">
        <is>
          <t>« On admet que le rang d'une matrice et de sa transposée sont les mêmes. »</t>
        </is>
      </c>
      <c r="I98" s="9" t="n">
        <v>15</v>
      </c>
      <c r="J98" s="9" t="inlineStr"/>
      <c r="K98" s="11" t="n"/>
      <c r="L98" s="11" t="n"/>
    </row>
    <row r="99">
      <c r="A99" s="9" t="inlineStr">
        <is>
          <t>M098</t>
        </is>
      </c>
      <c r="B99" s="10" t="inlineStr">
        <is>
          <t>Noir – conforme</t>
        </is>
      </c>
      <c r="C99" s="9" t="inlineStr">
        <is>
          <t>BCPST1</t>
        </is>
      </c>
      <c r="D99" s="9" t="inlineStr">
        <is>
          <t>BCPST1 · Géométrie 1</t>
        </is>
      </c>
      <c r="E99" s="9" t="inlineStr">
        <is>
          <t>Propriété</t>
        </is>
      </c>
      <c r="F99" s="10" t="inlineStr">
        <is>
          <t>Propriétés fondamentales du plan affine</t>
        </is>
      </c>
      <c r="G99" s="9" t="inlineStr">
        <is>
          <t>Pour tout point $O$ et tout vecteur $\vec u$, il existe un unique $M$ tel que $\overrightarrow{OM}=\vec u$ ; relation de Chasles $\overrightarrow{AB}+\overrightarrow{BC}=\overrightarrow{AC}$.</t>
        </is>
      </c>
      <c r="H99" s="9" t="inlineStr">
        <is>
          <t>« Étant donné un vecteur u et un point O, il existe un et un seul point M tel que OM = u. … Relation de Chasles. »</t>
        </is>
      </c>
      <c r="I99" s="9" t="n">
        <v>51</v>
      </c>
      <c r="J99" s="9" t="inlineStr"/>
      <c r="K99" s="11" t="n"/>
      <c r="L99" s="11" t="n"/>
    </row>
    <row r="100">
      <c r="A100" s="9" t="inlineStr">
        <is>
          <t>M099</t>
        </is>
      </c>
      <c r="B100" s="10" t="inlineStr">
        <is>
          <t>Noir – conforme</t>
        </is>
      </c>
      <c r="C100" s="9" t="inlineStr">
        <is>
          <t>BCPST1</t>
        </is>
      </c>
      <c r="D100" s="9" t="inlineStr">
        <is>
          <t>BCPST1 · Géométrie 1</t>
        </is>
      </c>
      <c r="E100" s="9" t="inlineStr">
        <is>
          <t>Définition</t>
        </is>
      </c>
      <c r="F100" s="10" t="inlineStr">
        <is>
          <t>Repères cartésiens et coordonnées</t>
        </is>
      </c>
      <c r="G100" s="9" t="inlineStr">
        <is>
          <t>Repère $(O;\vec i,\vec j)$ ; coordonnées de $M$ : l'unique $(x,y)$ tel que $\overrightarrow{OM}=x\vec i+y\vec j$.</t>
        </is>
      </c>
      <c r="H100" s="9" t="inlineStr">
        <is>
          <t>« Bases et repères du plan et de l'espace … existence et unicité des coordonnées d'un vecteur dans une base. »</t>
        </is>
      </c>
      <c r="I100" s="9" t="n">
        <v>52</v>
      </c>
      <c r="J100" s="9" t="inlineStr"/>
      <c r="K100" s="11" t="n"/>
      <c r="L100" s="11" t="n"/>
    </row>
    <row r="101">
      <c r="A101" s="9" t="inlineStr">
        <is>
          <t>M100</t>
        </is>
      </c>
      <c r="B101" s="10" t="inlineStr">
        <is>
          <t>Noir – conforme</t>
        </is>
      </c>
      <c r="C101" s="9" t="inlineStr">
        <is>
          <t>BCPST1</t>
        </is>
      </c>
      <c r="D101" s="9" t="inlineStr">
        <is>
          <t>BCPST1 · Géométrie 1</t>
        </is>
      </c>
      <c r="E101" s="9" t="inlineStr">
        <is>
          <t>Propriété</t>
        </is>
      </c>
      <c r="F101" s="10" t="inlineStr">
        <is>
          <t>Calcul des coordonnées d'un vecteur</t>
        </is>
      </c>
      <c r="G101" s="9" t="inlineStr">
        <is>
          <t>$\overrightarrow{AB}$ a pour coordonnées $(x_B-x_A,\ y_B-y_A)$.</t>
        </is>
      </c>
      <c r="H101" s="9" t="inlineStr">
        <is>
          <t>Coordonnées dans un repère (« Bases et repères du plan et de l'espace »).</t>
        </is>
      </c>
      <c r="I101" s="9" t="n">
        <v>52</v>
      </c>
      <c r="J101" s="9" t="inlineStr"/>
      <c r="K101" s="11" t="n"/>
      <c r="L101" s="11" t="n"/>
    </row>
    <row r="102">
      <c r="A102" s="9" t="inlineStr">
        <is>
          <t>M101</t>
        </is>
      </c>
      <c r="B102" s="10" t="inlineStr">
        <is>
          <t>Noir – conforme</t>
        </is>
      </c>
      <c r="C102" s="9" t="inlineStr">
        <is>
          <t>BCPST1</t>
        </is>
      </c>
      <c r="D102" s="9" t="inlineStr">
        <is>
          <t>BCPST1 · Géométrie 1</t>
        </is>
      </c>
      <c r="E102" s="9" t="inlineStr">
        <is>
          <t>Définition</t>
        </is>
      </c>
      <c r="F102" s="10" t="inlineStr">
        <is>
          <t>Colinéarité de deux vecteurs – Définition</t>
        </is>
      </c>
      <c r="G102" s="9" t="inlineStr">
        <is>
          <t>$\vec u$ et $\vec v$ sont colinéaires si la famille $(\vec u,\vec v)$ est liée.</t>
        </is>
      </c>
      <c r="H102" s="9" t="inlineStr">
        <is>
          <t>« Colinéarité. »</t>
        </is>
      </c>
      <c r="I102" s="9" t="n">
        <v>52</v>
      </c>
      <c r="J102" s="9" t="inlineStr"/>
      <c r="K102" s="11" t="n"/>
      <c r="L102" s="11" t="n"/>
    </row>
    <row r="103">
      <c r="A103" s="9" t="inlineStr">
        <is>
          <t>M102</t>
        </is>
      </c>
      <c r="B103" s="10" t="inlineStr">
        <is>
          <t>Noir – conforme</t>
        </is>
      </c>
      <c r="C103" s="9" t="inlineStr">
        <is>
          <t>BCPST1</t>
        </is>
      </c>
      <c r="D103" s="9" t="inlineStr">
        <is>
          <t>BCPST1 · Géométrie 1</t>
        </is>
      </c>
      <c r="E103" s="9" t="inlineStr">
        <is>
          <t>Propriété</t>
        </is>
      </c>
      <c r="F103" s="10" t="inlineStr">
        <is>
          <t>Colinéarité de deux vecteurs – Critère</t>
        </is>
      </c>
      <c r="G103" s="9" t="inlineStr">
        <is>
          <t>$\vec u(x,y)$ et $\vec v(x',y')$ sont colinéaires $\iff xy'-x'y=0$.</t>
        </is>
      </c>
      <c r="H103" s="9" t="inlineStr">
        <is>
          <t>« Caractérisation de la colinéarité de deux vecteurs du plan par l'annulation du déterminant. »</t>
        </is>
      </c>
      <c r="I103" s="9" t="n">
        <v>52</v>
      </c>
      <c r="J103" s="9" t="inlineStr"/>
      <c r="K103" s="11" t="n"/>
      <c r="L103" s="11" t="n"/>
    </row>
    <row r="104">
      <c r="A104" s="12" t="inlineStr">
        <is>
          <t>M103</t>
        </is>
      </c>
      <c r="B104" s="13" t="inlineStr">
        <is>
          <t>Orange – incertain</t>
        </is>
      </c>
      <c r="C104" s="12" t="inlineStr">
        <is>
          <t>BCPST1</t>
        </is>
      </c>
      <c r="D104" s="12" t="inlineStr">
        <is>
          <t>BCPST1 · Géométrie 1</t>
        </is>
      </c>
      <c r="E104" s="12" t="inlineStr">
        <is>
          <t>Définition</t>
        </is>
      </c>
      <c r="F104" s="13" t="inlineStr">
        <is>
          <t>Milieu d'un segment – Définition</t>
        </is>
      </c>
      <c r="G104" s="12" t="inlineStr">
        <is>
          <t>Le milieu $I$ de $[AB]$ est l'unique point tel que $\overrightarrow{AI}=\overrightarrow{IB}$.</t>
        </is>
      </c>
      <c r="H104" s="12" t="inlineStr">
        <is>
          <t>Programme muet : notion non mentionnée. (acquis du lycée)</t>
        </is>
      </c>
      <c r="I104" s="12" t="n">
        <v>52</v>
      </c>
      <c r="J104" s="12" t="inlineStr"/>
      <c r="K104" s="14" t="n"/>
      <c r="L104" s="14" t="n"/>
    </row>
    <row r="105">
      <c r="A105" s="12" t="inlineStr">
        <is>
          <t>M104</t>
        </is>
      </c>
      <c r="B105" s="13" t="inlineStr">
        <is>
          <t>Orange – incertain</t>
        </is>
      </c>
      <c r="C105" s="12" t="inlineStr">
        <is>
          <t>BCPST1</t>
        </is>
      </c>
      <c r="D105" s="12" t="inlineStr">
        <is>
          <t>BCPST1 · Géométrie 1</t>
        </is>
      </c>
      <c r="E105" s="12" t="inlineStr">
        <is>
          <t>Propriété</t>
        </is>
      </c>
      <c r="F105" s="13" t="inlineStr">
        <is>
          <t>Milieu d'un segment – Calcul des coordonnées</t>
        </is>
      </c>
      <c r="G105" s="12" t="inlineStr">
        <is>
          <t>$x_I=\frac{x_A+x_B}2$, $y_I=\frac{y_A+y_B}2$.</t>
        </is>
      </c>
      <c r="H105" s="12" t="inlineStr">
        <is>
          <t>Programme muet : notion non mentionnée. (acquis du lycée)</t>
        </is>
      </c>
      <c r="I105" s="12" t="n">
        <v>52</v>
      </c>
      <c r="J105" s="12" t="inlineStr"/>
      <c r="K105" s="14" t="n"/>
      <c r="L105" s="14" t="n"/>
    </row>
    <row r="106">
      <c r="A106" s="9" t="inlineStr">
        <is>
          <t>M105</t>
        </is>
      </c>
      <c r="B106" s="10" t="inlineStr">
        <is>
          <t>Noir – conforme</t>
        </is>
      </c>
      <c r="C106" s="9" t="inlineStr">
        <is>
          <t>BCPST1</t>
        </is>
      </c>
      <c r="D106" s="9" t="inlineStr">
        <is>
          <t>BCPST1 · Géométrie 1</t>
        </is>
      </c>
      <c r="E106" s="9" t="inlineStr">
        <is>
          <t>Définition</t>
        </is>
      </c>
      <c r="F106" s="10" t="inlineStr">
        <is>
          <t>Produit scalaire et norme euclidienne dans la base canonique</t>
        </is>
      </c>
      <c r="G106" s="9" t="inlineStr">
        <is>
          <t>$\vec u\cdot\vec v=xx'+yy'$ ; $\|\vec u\|=\sqrt{\vec u\cdot\vec u}=\sqrt{x^2+y^2}$.</t>
        </is>
      </c>
      <c r="H106" s="9" t="inlineStr">
        <is>
          <t>« Expression du produit scalaire à partir des coordonnées dans une base orthonormée … Lien avec la norme. »</t>
        </is>
      </c>
      <c r="I106" s="9" t="n">
        <v>53</v>
      </c>
      <c r="J106" s="9" t="inlineStr"/>
      <c r="K106" s="11" t="n"/>
      <c r="L106" s="11" t="n"/>
    </row>
    <row r="107">
      <c r="A107" s="9" t="inlineStr">
        <is>
          <t>M106</t>
        </is>
      </c>
      <c r="B107" s="10" t="inlineStr">
        <is>
          <t>Noir – conforme</t>
        </is>
      </c>
      <c r="C107" s="9" t="inlineStr">
        <is>
          <t>BCPST1</t>
        </is>
      </c>
      <c r="D107" s="9" t="inlineStr">
        <is>
          <t>BCPST1 · Géométrie 1</t>
        </is>
      </c>
      <c r="E107" s="9" t="inlineStr">
        <is>
          <t>Définition</t>
        </is>
      </c>
      <c r="F107" s="10" t="inlineStr">
        <is>
          <t>Bases et repères orthonormaux</t>
        </is>
      </c>
      <c r="G107" s="9" t="inlineStr">
        <is>
          <t>$(\vec i,\vec j)$ est orthonormale si $\|\vec i\|=\|\vec j\|=1$ et $\vec i\cdot\vec j=0$.</t>
        </is>
      </c>
      <c r="H107" s="9" t="inlineStr">
        <is>
          <t>« Une base orthonormée du plan (resp. de l'espace) est la donnée de deux (resp. trois) vecteurs orthogonaux de norme 1. »</t>
        </is>
      </c>
      <c r="I107" s="9" t="n">
        <v>53</v>
      </c>
      <c r="J107" s="9" t="inlineStr"/>
      <c r="K107" s="11" t="n"/>
      <c r="L107" s="11" t="n"/>
    </row>
    <row r="108">
      <c r="A108" s="9" t="inlineStr">
        <is>
          <t>M107</t>
        </is>
      </c>
      <c r="B108" s="10" t="inlineStr">
        <is>
          <t>Noir – conforme</t>
        </is>
      </c>
      <c r="C108" s="9" t="inlineStr">
        <is>
          <t>BCPST1</t>
        </is>
      </c>
      <c r="D108" s="9" t="inlineStr">
        <is>
          <t>BCPST1 · Géométrie 1</t>
        </is>
      </c>
      <c r="E108" s="9" t="inlineStr">
        <is>
          <t>Propriété</t>
        </is>
      </c>
      <c r="F108" s="10" t="inlineStr">
        <is>
          <t>Règles de calcul pour le produit scalaire et la norme</t>
        </is>
      </c>
      <c r="G108" s="9" t="inlineStr">
        <is>
          <t>Bilinéarité, symétrie ; $\|\lambda\vec u\|=|\lambda|\|\vec u\|$ ; $\|\vec u\|=0\iff\vec u=\vec0$ ; $\|\vec u\pm\vec v\|^2=\|\vec u\|^2\pm2\vec u\cdot\vec v+\|\vec v\|^2$ ; $(\vec u+\vec v)\cdot(\vec u-\vec v)=\|\vec u\|^2-\|\vec v\|^2$.</t>
        </is>
      </c>
      <c r="H108" s="9" t="inlineStr">
        <is>
          <t>« Propriétés : symétrie, bilinéarité, positivité. Lien avec la norme. »</t>
        </is>
      </c>
      <c r="I108" s="9" t="n">
        <v>54</v>
      </c>
      <c r="J108" s="9" t="inlineStr"/>
      <c r="K108" s="11" t="n"/>
      <c r="L108" s="11" t="n"/>
    </row>
    <row r="109">
      <c r="A109" s="9" t="inlineStr">
        <is>
          <t>M108</t>
        </is>
      </c>
      <c r="B109" s="10" t="inlineStr">
        <is>
          <t>Noir – conforme</t>
        </is>
      </c>
      <c r="C109" s="9" t="inlineStr">
        <is>
          <t>BCPST1</t>
        </is>
      </c>
      <c r="D109" s="9" t="inlineStr">
        <is>
          <t>BCPST1 · Géométrie 1</t>
        </is>
      </c>
      <c r="E109" s="9" t="inlineStr">
        <is>
          <t>Définition</t>
        </is>
      </c>
      <c r="F109" s="10" t="inlineStr">
        <is>
          <t>Orthogonalité de deux vecteurs</t>
        </is>
      </c>
      <c r="G109" s="9" t="inlineStr">
        <is>
          <t>$\vec u\perp\vec v$ si $\vec u\cdot\vec v=0$.</t>
        </is>
      </c>
      <c r="H109" s="9" t="inlineStr">
        <is>
          <t>« Caractérisation de l'orthogonalité de deux vecteurs par le produit scalaire. »</t>
        </is>
      </c>
      <c r="I109" s="9" t="n">
        <v>55</v>
      </c>
      <c r="J109" s="9" t="inlineStr"/>
      <c r="K109" s="11" t="n"/>
      <c r="L109" s="11" t="n"/>
    </row>
    <row r="110">
      <c r="A110" s="9" t="inlineStr">
        <is>
          <t>M109</t>
        </is>
      </c>
      <c r="B110" s="10" t="inlineStr">
        <is>
          <t>Noir – conforme</t>
        </is>
      </c>
      <c r="C110" s="9" t="inlineStr">
        <is>
          <t>BCPST1</t>
        </is>
      </c>
      <c r="D110" s="9" t="inlineStr">
        <is>
          <t>BCPST1 · Géométrie 1</t>
        </is>
      </c>
      <c r="E110" s="9" t="inlineStr">
        <is>
          <t>Définition</t>
        </is>
      </c>
      <c r="F110" s="10" t="inlineStr">
        <is>
          <t>Droite dans le plan – Définition</t>
        </is>
      </c>
      <c r="G110" s="9" t="inlineStr">
        <is>
          <t>Droite passant par $A$ dirigée par $\vec u\neq\vec0$ : $\{M,\ \overrightarrow{AM}\in\mathrm{Vect}(\vec u)\}$.</t>
        </is>
      </c>
      <c r="H110" s="9" t="inlineStr">
        <is>
          <t>« Une droite est déterminée par la donnée d'un point et d'un vecteur non nul … vecteur directeur. »</t>
        </is>
      </c>
      <c r="I110" s="9" t="n">
        <v>55</v>
      </c>
      <c r="J110" s="9" t="inlineStr"/>
      <c r="K110" s="11" t="n"/>
      <c r="L110" s="11" t="n"/>
    </row>
    <row r="111">
      <c r="A111" s="9" t="inlineStr">
        <is>
          <t>M110</t>
        </is>
      </c>
      <c r="B111" s="10" t="inlineStr">
        <is>
          <t>Noir – conforme</t>
        </is>
      </c>
      <c r="C111" s="9" t="inlineStr">
        <is>
          <t>BCPST1</t>
        </is>
      </c>
      <c r="D111" s="9" t="inlineStr">
        <is>
          <t>BCPST1 · Géométrie 1</t>
        </is>
      </c>
      <c r="E111" s="9" t="inlineStr">
        <is>
          <t>Propriété</t>
        </is>
      </c>
      <c r="F111" s="10" t="inlineStr">
        <is>
          <t>Droite dans le plan – Équation cartésienne</t>
        </is>
      </c>
      <c r="G111" s="9" t="inlineStr">
        <is>
          <t>$ax+by+c=0$ avec $(a,b)\neq(0,0)$ est une droite, de vecteur directeur $(-b,a)$.</t>
        </is>
      </c>
      <c r="H111" s="9" t="inlineStr">
        <is>
          <t>« Équation cartésienne d'une droite obtenue à l'aide d'un vecteur normal. »</t>
        </is>
      </c>
      <c r="I111" s="9" t="n">
        <v>55</v>
      </c>
      <c r="J111" s="9" t="inlineStr"/>
      <c r="K111" s="11" t="n"/>
      <c r="L111" s="11" t="n"/>
    </row>
    <row r="112">
      <c r="A112" s="9" t="inlineStr">
        <is>
          <t>M111</t>
        </is>
      </c>
      <c r="B112" s="10" t="inlineStr">
        <is>
          <t>Noir – conforme</t>
        </is>
      </c>
      <c r="C112" s="9" t="inlineStr">
        <is>
          <t>BCPST1</t>
        </is>
      </c>
      <c r="D112" s="9" t="inlineStr">
        <is>
          <t>BCPST1 · Géométrie 1</t>
        </is>
      </c>
      <c r="E112" s="9" t="inlineStr">
        <is>
          <t>Propriété</t>
        </is>
      </c>
      <c r="F112" s="10" t="inlineStr">
        <is>
          <t>Coefficient directeur d'une droite</t>
        </is>
      </c>
      <c r="G112" s="9" t="inlineStr">
        <is>
          <t>Si $b\neq0$, la droite a une équation $y=mx+p$ ; pour $A,B$ distincts sur la droite, $m=\frac{y_B-y_A}{x_B-x_A}$.</t>
        </is>
      </c>
      <c r="H112" s="9" t="inlineStr">
        <is>
          <t>« Coefficient directeur (ou pente) d'une droite. »</t>
        </is>
      </c>
      <c r="I112" s="9" t="n">
        <v>55</v>
      </c>
      <c r="J112" s="9" t="inlineStr"/>
      <c r="K112" s="11" t="n"/>
      <c r="L112" s="11" t="n"/>
    </row>
    <row r="113">
      <c r="A113" s="9" t="inlineStr">
        <is>
          <t>M112</t>
        </is>
      </c>
      <c r="B113" s="10" t="inlineStr">
        <is>
          <t>Noir – conforme</t>
        </is>
      </c>
      <c r="C113" s="9" t="inlineStr">
        <is>
          <t>BCPST1</t>
        </is>
      </c>
      <c r="D113" s="9" t="inlineStr">
        <is>
          <t>BCPST1 · Géométrie 1</t>
        </is>
      </c>
      <c r="E113" s="9" t="inlineStr">
        <is>
          <t>Propriété</t>
        </is>
      </c>
      <c r="F113" s="10" t="inlineStr">
        <is>
          <t>Droite dans le plan – Équations paramétriques</t>
        </is>
      </c>
      <c r="G113" s="9" t="inlineStr">
        <is>
          <t>$x=x_A+t\alpha$, $y=y_A+t\beta$ ($t\in\mathbb R$) : droite passant par $A$ dirigée par $(\alpha,\beta)\neq(0,0)$.</t>
        </is>
      </c>
      <c r="H113" s="9" t="inlineStr">
        <is>
          <t>« Représentation paramétrique d'une droite. »</t>
        </is>
      </c>
      <c r="I113" s="9" t="n">
        <v>56</v>
      </c>
      <c r="J113" s="9" t="inlineStr"/>
      <c r="K113" s="11" t="n"/>
      <c r="L113" s="11" t="n"/>
    </row>
    <row r="114">
      <c r="A114" s="9" t="inlineStr">
        <is>
          <t>M113</t>
        </is>
      </c>
      <c r="B114" s="10" t="inlineStr">
        <is>
          <t>Noir – conforme</t>
        </is>
      </c>
      <c r="C114" s="9" t="inlineStr">
        <is>
          <t>BCPST1</t>
        </is>
      </c>
      <c r="D114" s="9" t="inlineStr">
        <is>
          <t>BCPST1 · Géométrie 1</t>
        </is>
      </c>
      <c r="E114" s="9" t="inlineStr">
        <is>
          <t>Définition</t>
        </is>
      </c>
      <c r="F114" s="10" t="inlineStr">
        <is>
          <t>Parallélisme de deux droites – Définition</t>
        </is>
      </c>
      <c r="G114" s="9" t="inlineStr">
        <is>
          <t>$D_1\parallel D_2$ si un vecteur directeur de $D_1$ est colinéaire à un vecteur directeur de $D_2$ ; alors tous leurs vecteurs directeurs sont colinéaires.</t>
        </is>
      </c>
      <c r="H114" s="9" t="inlineStr">
        <is>
          <t>« plusieurs notions et résultats sont supposés connus : … parallélisme ».</t>
        </is>
      </c>
      <c r="I114" s="9" t="n">
        <v>56</v>
      </c>
      <c r="J114" s="9" t="inlineStr">
        <is>
          <t>ERREUR DANS L'OUVRAGE : il écrit « tout vecteur directeur de $D_1$ est orthogonal à tout vecteur directeur de $D_2$ » ; corrigé (colinéaire)</t>
        </is>
      </c>
      <c r="K114" s="11" t="n"/>
      <c r="L114" s="11" t="n"/>
    </row>
    <row r="115">
      <c r="A115" s="9" t="inlineStr">
        <is>
          <t>M114</t>
        </is>
      </c>
      <c r="B115" s="10" t="inlineStr">
        <is>
          <t>Noir – conforme</t>
        </is>
      </c>
      <c r="C115" s="9" t="inlineStr">
        <is>
          <t>BCPST1</t>
        </is>
      </c>
      <c r="D115" s="9" t="inlineStr">
        <is>
          <t>BCPST1 · Géométrie 1</t>
        </is>
      </c>
      <c r="E115" s="9" t="inlineStr">
        <is>
          <t>Propriété</t>
        </is>
      </c>
      <c r="F115" s="10" t="inlineStr">
        <is>
          <t>Parallélisme de deux droites – Propriété</t>
        </is>
      </c>
      <c r="G115" s="9" t="inlineStr">
        <is>
          <t>$ax+by+c=0$ et $\alpha x+\beta y+\gamma=0$ sont parallèles $\iff a\beta-\alpha b=0$.</t>
        </is>
      </c>
      <c r="H115" s="9" t="inlineStr">
        <is>
          <t>« Caractérisation de la colinéarité de deux vecteurs du plan par l'annulation du déterminant. »</t>
        </is>
      </c>
      <c r="I115" s="9" t="n">
        <v>56</v>
      </c>
      <c r="J115" s="9" t="inlineStr"/>
      <c r="K115" s="11" t="n"/>
      <c r="L115" s="11" t="n"/>
    </row>
    <row r="116">
      <c r="A116" s="9" t="inlineStr">
        <is>
          <t>M115</t>
        </is>
      </c>
      <c r="B116" s="10" t="inlineStr">
        <is>
          <t>Noir – conforme</t>
        </is>
      </c>
      <c r="C116" s="9" t="inlineStr">
        <is>
          <t>BCPST1</t>
        </is>
      </c>
      <c r="D116" s="9" t="inlineStr">
        <is>
          <t>BCPST1 · Géométrie 1</t>
        </is>
      </c>
      <c r="E116" s="9" t="inlineStr">
        <is>
          <t>Définition</t>
        </is>
      </c>
      <c r="F116" s="10" t="inlineStr">
        <is>
          <t>Vecteur normal à une droite – Définition</t>
        </is>
      </c>
      <c r="G116" s="9" t="inlineStr">
        <is>
          <t>$\vec N$ est normal à $D$ s'il est orthogonal à un (donc à tout) vecteur directeur de $D$.</t>
        </is>
      </c>
      <c r="H116" s="9" t="inlineStr">
        <is>
          <t>« Vecteur normal à une droite. »</t>
        </is>
      </c>
      <c r="I116" s="9" t="n">
        <v>56</v>
      </c>
      <c r="J116" s="9" t="inlineStr"/>
      <c r="K116" s="11" t="n"/>
      <c r="L116" s="11" t="n"/>
    </row>
    <row r="117">
      <c r="A117" s="9" t="inlineStr">
        <is>
          <t>M116</t>
        </is>
      </c>
      <c r="B117" s="10" t="inlineStr">
        <is>
          <t>Noir – conforme</t>
        </is>
      </c>
      <c r="C117" s="9" t="inlineStr">
        <is>
          <t>BCPST1</t>
        </is>
      </c>
      <c r="D117" s="9" t="inlineStr">
        <is>
          <t>BCPST1 · Géométrie 1</t>
        </is>
      </c>
      <c r="E117" s="9" t="inlineStr">
        <is>
          <t>Propriété</t>
        </is>
      </c>
      <c r="F117" s="10" t="inlineStr">
        <is>
          <t>Vecteur normal à une droite – Propriété</t>
        </is>
      </c>
      <c r="G117" s="9" t="inlineStr">
        <is>
          <t>En repère orthonormal, $ax+by+c=0$ admet $\vec N(a,b)$ comme vecteur normal ; les droites de vecteur normal $(a,b)$ sont celles d'équation $ax+by+c=0$, $c\in\mathbb R$.</t>
        </is>
      </c>
      <c r="H117" s="9" t="inlineStr">
        <is>
          <t>« Équation cartésienne d'une droite obtenue à l'aide d'un vecteur normal. »</t>
        </is>
      </c>
      <c r="I117" s="9" t="n">
        <v>56</v>
      </c>
      <c r="J117" s="9" t="inlineStr"/>
      <c r="K117" s="11" t="n"/>
      <c r="L117" s="11" t="n"/>
    </row>
    <row r="118">
      <c r="A118" s="9" t="inlineStr">
        <is>
          <t>M117</t>
        </is>
      </c>
      <c r="B118" s="10" t="inlineStr">
        <is>
          <t>Noir – conforme</t>
        </is>
      </c>
      <c r="C118" s="9" t="inlineStr">
        <is>
          <t>BCPST1</t>
        </is>
      </c>
      <c r="D118" s="9" t="inlineStr">
        <is>
          <t>BCPST1 · Géométrie 1</t>
        </is>
      </c>
      <c r="E118" s="9" t="inlineStr">
        <is>
          <t>Définition</t>
        </is>
      </c>
      <c r="F118" s="10" t="inlineStr">
        <is>
          <t>Orthogonalité de deux droites – Définition</t>
        </is>
      </c>
      <c r="G118" s="9" t="inlineStr">
        <is>
          <t>$D_1\perp D_2$ si un vecteur directeur de $D_1$ est orthogonal à un vecteur directeur de $D_2$.</t>
        </is>
      </c>
      <c r="H118" s="9" t="inlineStr">
        <is>
          <t>« supposés connus : … perpendicularité ».</t>
        </is>
      </c>
      <c r="I118" s="9" t="n">
        <v>57</v>
      </c>
      <c r="J118" s="9" t="inlineStr"/>
      <c r="K118" s="11" t="n"/>
      <c r="L118" s="11" t="n"/>
    </row>
    <row r="119">
      <c r="A119" s="9" t="inlineStr">
        <is>
          <t>M118</t>
        </is>
      </c>
      <c r="B119" s="10" t="inlineStr">
        <is>
          <t>Noir – conforme</t>
        </is>
      </c>
      <c r="C119" s="9" t="inlineStr">
        <is>
          <t>BCPST1</t>
        </is>
      </c>
      <c r="D119" s="9" t="inlineStr">
        <is>
          <t>BCPST1 · Géométrie 1</t>
        </is>
      </c>
      <c r="E119" s="9" t="inlineStr">
        <is>
          <t>Propriété</t>
        </is>
      </c>
      <c r="F119" s="10" t="inlineStr">
        <is>
          <t>Orthogonalité de deux droites – Propriété</t>
        </is>
      </c>
      <c r="G119" s="9" t="inlineStr">
        <is>
          <t>En repère orthonormal, $ax+by+c=0$ et $\alpha x+\beta y+\gamma=0$ sont orthogonales $\iff a\alpha+b\beta=0$.</t>
        </is>
      </c>
      <c r="H119" s="9" t="inlineStr">
        <is>
          <t>« Caractérisation de l'orthogonalité de deux vecteurs par le produit scalaire » appliquée aux vecteurs normaux.</t>
        </is>
      </c>
      <c r="I119" s="9" t="n">
        <v>57</v>
      </c>
      <c r="J119" s="9" t="inlineStr"/>
      <c r="K119" s="11" t="n"/>
      <c r="L119" s="11" t="n"/>
    </row>
    <row r="120">
      <c r="A120" s="9" t="inlineStr">
        <is>
          <t>M119</t>
        </is>
      </c>
      <c r="B120" s="10" t="inlineStr">
        <is>
          <t>Noir – conforme</t>
        </is>
      </c>
      <c r="C120" s="9" t="inlineStr">
        <is>
          <t>BCPST1</t>
        </is>
      </c>
      <c r="D120" s="9" t="inlineStr">
        <is>
          <t>BCPST1 · Géométrie 1</t>
        </is>
      </c>
      <c r="E120" s="9" t="inlineStr">
        <is>
          <t>Définition</t>
        </is>
      </c>
      <c r="F120" s="10" t="inlineStr">
        <is>
          <t>Projection orthogonale – Définition</t>
        </is>
      </c>
      <c r="G120" s="9" t="inlineStr">
        <is>
          <t>Le projeté orthogonal de $M$ sur $D$ (dirigée par $\vec u$) est l'unique $H\in D$ tel que $\overrightarrow{MH}\perp\vec u$.</t>
        </is>
      </c>
      <c r="H120" s="9" t="inlineStr">
        <is>
          <t>« Projection orthogonale d'un point M sur une droite D … l'unique point H de la droite tel que les vecteurs HM et u sont orthogonaux. »</t>
        </is>
      </c>
      <c r="I120" s="9" t="n">
        <v>57</v>
      </c>
      <c r="J120" s="9" t="inlineStr"/>
      <c r="K120" s="11" t="n"/>
      <c r="L120" s="11" t="n"/>
    </row>
    <row r="121">
      <c r="A121" s="9" t="inlineStr">
        <is>
          <t>M120</t>
        </is>
      </c>
      <c r="B121" s="10" t="inlineStr">
        <is>
          <t>Noir – conforme</t>
        </is>
      </c>
      <c r="C121" s="9" t="inlineStr">
        <is>
          <t>BCPST1</t>
        </is>
      </c>
      <c r="D121" s="9" t="inlineStr">
        <is>
          <t>BCPST1 · Géométrie 1</t>
        </is>
      </c>
      <c r="E121" s="9" t="inlineStr">
        <is>
          <t>Propriété</t>
        </is>
      </c>
      <c r="F121" s="10" t="inlineStr">
        <is>
          <t>Projection orthogonale – Propriété</t>
        </is>
      </c>
      <c r="G121" s="9" t="inlineStr">
        <is>
          <t>$H$ est l'unique point de $D$ tel que $\overrightarrow{MH}$ soit colinéaire à un vecteur normal $\vec N$ de $D$.</t>
        </is>
      </c>
      <c r="H121" s="9" t="inlineStr">
        <is>
          <t>« Projection orthogonale d'un point M sur une droite D. »</t>
        </is>
      </c>
      <c r="I121" s="9" t="n">
        <v>57</v>
      </c>
      <c r="J121" s="9" t="inlineStr"/>
      <c r="K121" s="11" t="n"/>
      <c r="L121" s="11" t="n"/>
    </row>
    <row r="122">
      <c r="A122" s="9" t="inlineStr">
        <is>
          <t>M121</t>
        </is>
      </c>
      <c r="B122" s="10" t="inlineStr">
        <is>
          <t>Noir – conforme</t>
        </is>
      </c>
      <c r="C122" s="9" t="inlineStr">
        <is>
          <t>BCPST1</t>
        </is>
      </c>
      <c r="D122" s="9" t="inlineStr">
        <is>
          <t>BCPST1 · Géométrie 1</t>
        </is>
      </c>
      <c r="E122" s="9" t="inlineStr">
        <is>
          <t>Propriété</t>
        </is>
      </c>
      <c r="F122" s="10" t="inlineStr">
        <is>
          <t>Projeté orthogonal et produit scalaire</t>
        </is>
      </c>
      <c r="G122" s="9" t="inlineStr">
        <is>
          <t>Si $H$ est le projeté orthogonal de $B$ sur $(AC)$ : $\overrightarrow{AB}\cdot\overrightarrow{AC}=\overrightarrow{AH}\cdot\overrightarrow{AC}$.</t>
        </is>
      </c>
      <c r="H122" s="9" t="inlineStr">
        <is>
          <t>« Définition du produit scalaire usuel de deux vecteurs à partir de la projection orthogonale. »</t>
        </is>
      </c>
      <c r="I122" s="9" t="n">
        <v>57</v>
      </c>
      <c r="J122" s="9" t="inlineStr"/>
      <c r="K122" s="11" t="n"/>
      <c r="L122" s="11" t="n"/>
    </row>
    <row r="123">
      <c r="A123" s="9" t="inlineStr">
        <is>
          <t>M122</t>
        </is>
      </c>
      <c r="B123" s="10" t="inlineStr">
        <is>
          <t>Noir – conforme</t>
        </is>
      </c>
      <c r="C123" s="9" t="inlineStr">
        <is>
          <t>BCPST1</t>
        </is>
      </c>
      <c r="D123" s="9" t="inlineStr">
        <is>
          <t>BCPST1 · Géométrie 1</t>
        </is>
      </c>
      <c r="E123" s="9" t="inlineStr">
        <is>
          <t>Définition</t>
        </is>
      </c>
      <c r="F123" s="10" t="inlineStr">
        <is>
          <t>Distance d'un point à une droite – Définition</t>
        </is>
      </c>
      <c r="G123" s="9" t="inlineStr">
        <is>
          <t>$d(A,D)=\inf_{M\in D}\|\overrightarrow{AM}\|$.</t>
        </is>
      </c>
      <c r="H123" s="9" t="inlineStr">
        <is>
          <t>« Lien avec la distance entre le point M et la droite D. »</t>
        </is>
      </c>
      <c r="I123" s="9" t="n">
        <v>58</v>
      </c>
      <c r="J123" s="9" t="inlineStr"/>
      <c r="K123" s="11" t="n"/>
      <c r="L123" s="11" t="n"/>
    </row>
    <row r="124">
      <c r="A124" s="9" t="inlineStr">
        <is>
          <t>M123</t>
        </is>
      </c>
      <c r="B124" s="10" t="inlineStr">
        <is>
          <t>Noir – conforme</t>
        </is>
      </c>
      <c r="C124" s="9" t="inlineStr">
        <is>
          <t>BCPST1</t>
        </is>
      </c>
      <c r="D124" s="9" t="inlineStr">
        <is>
          <t>BCPST1 · Géométrie 1</t>
        </is>
      </c>
      <c r="E124" s="9" t="inlineStr">
        <is>
          <t>Propriété</t>
        </is>
      </c>
      <c r="F124" s="10" t="inlineStr">
        <is>
          <t>Distance d'un point à une droite – Propriété</t>
        </is>
      </c>
      <c r="G124" s="9" t="inlineStr">
        <is>
          <t>$d(A,D)=AH$ où $H$ est le projeté orthogonal de $A$ sur $D$ (la borne inférieure est un minimum).</t>
        </is>
      </c>
      <c r="H124" s="9" t="inlineStr">
        <is>
          <t>« Lien avec la distance entre le point M et la droite D. »</t>
        </is>
      </c>
      <c r="I124" s="9" t="n">
        <v>58</v>
      </c>
      <c r="J124" s="9" t="inlineStr"/>
      <c r="K124" s="11" t="n"/>
      <c r="L124" s="11" t="n"/>
    </row>
    <row r="125">
      <c r="A125" s="15" t="inlineStr">
        <is>
          <t>M124</t>
        </is>
      </c>
      <c r="B125" s="16" t="inlineStr">
        <is>
          <t>Rouge – hors programme</t>
        </is>
      </c>
      <c r="C125" s="15" t="inlineStr">
        <is>
          <t>BCPST1</t>
        </is>
      </c>
      <c r="D125" s="15" t="inlineStr">
        <is>
          <t>BCPST1 · Géométrie 1</t>
        </is>
      </c>
      <c r="E125" s="15" t="inlineStr">
        <is>
          <t>Propriété</t>
        </is>
      </c>
      <c r="F125" s="16" t="inlineStr">
        <is>
          <t>Distance d'un point à une droite – Calcul</t>
        </is>
      </c>
      <c r="G125" s="15" t="inlineStr">
        <is>
          <t>En repère orthonormal : $d(A,D)=\dfrac{|ax_A+by_A+c|}{\sqrt{a^2+b^2}}$.</t>
        </is>
      </c>
      <c r="H125" s="15" t="inlineStr">
        <is>
          <t>« Aucune formule générale donnant la distance entre un point et une droite n'est exigible. »</t>
        </is>
      </c>
      <c r="I125" s="15" t="n">
        <v>58</v>
      </c>
      <c r="J125" s="15" t="inlineStr"/>
      <c r="K125" s="17" t="n"/>
      <c r="L125" s="17" t="n"/>
    </row>
    <row r="126">
      <c r="A126" s="9" t="inlineStr">
        <is>
          <t>M125</t>
        </is>
      </c>
      <c r="B126" s="10" t="inlineStr">
        <is>
          <t>Noir – conforme</t>
        </is>
      </c>
      <c r="C126" s="9" t="inlineStr">
        <is>
          <t>BCPST1</t>
        </is>
      </c>
      <c r="D126" s="9" t="inlineStr">
        <is>
          <t>BCPST1 · Géométrie 1</t>
        </is>
      </c>
      <c r="E126" s="9" t="inlineStr">
        <is>
          <t>Définition</t>
        </is>
      </c>
      <c r="F126" s="10" t="inlineStr">
        <is>
          <t>Cercle dans le plan – Définition</t>
        </is>
      </c>
      <c r="G126" s="9" t="inlineStr">
        <is>
          <t>$\mathcal C(\Omega,R)=\{M,\ \Omega M=R\}$.</t>
        </is>
      </c>
      <c r="H126" s="9" t="inlineStr">
        <is>
          <t>« Équation cartésienne d'un cercle défini par son centre et son rayon. »</t>
        </is>
      </c>
      <c r="I126" s="9" t="n">
        <v>58</v>
      </c>
      <c r="J126" s="9" t="inlineStr"/>
      <c r="K126" s="11" t="n"/>
      <c r="L126" s="11" t="n"/>
    </row>
    <row r="127">
      <c r="A127" s="9" t="inlineStr">
        <is>
          <t>M126</t>
        </is>
      </c>
      <c r="B127" s="10" t="inlineStr">
        <is>
          <t>Noir – conforme</t>
        </is>
      </c>
      <c r="C127" s="9" t="inlineStr">
        <is>
          <t>BCPST1</t>
        </is>
      </c>
      <c r="D127" s="9" t="inlineStr">
        <is>
          <t>BCPST1 · Géométrie 1</t>
        </is>
      </c>
      <c r="E127" s="9" t="inlineStr">
        <is>
          <t>Propriété</t>
        </is>
      </c>
      <c r="F127" s="10" t="inlineStr">
        <is>
          <t>Cercle dans le plan – Équation cartésienne</t>
        </is>
      </c>
      <c r="G127" s="9" t="inlineStr">
        <is>
          <t>En repère orthonormal : $(x-a)^2+(y-b)^2=R^2$ est le cercle de centre $\Omega(a,b)$ et de rayon $R$.</t>
        </is>
      </c>
      <c r="H127" s="9" t="inlineStr">
        <is>
          <t>« Équation cartésienne d'un cercle défini par son centre et son rayon. »</t>
        </is>
      </c>
      <c r="I127" s="9" t="n">
        <v>59</v>
      </c>
      <c r="J127" s="9" t="inlineStr"/>
      <c r="K127" s="11" t="n"/>
      <c r="L127" s="11" t="n"/>
    </row>
    <row r="128">
      <c r="A128" s="12" t="inlineStr">
        <is>
          <t>M127</t>
        </is>
      </c>
      <c r="B128" s="13" t="inlineStr">
        <is>
          <t>Orange – incertain</t>
        </is>
      </c>
      <c r="C128" s="12" t="inlineStr">
        <is>
          <t>BCPST1</t>
        </is>
      </c>
      <c r="D128" s="12" t="inlineStr">
        <is>
          <t>BCPST1 · Géométrie 1</t>
        </is>
      </c>
      <c r="E128" s="12" t="inlineStr">
        <is>
          <t>Propriété</t>
        </is>
      </c>
      <c r="F128" s="13" t="inlineStr">
        <is>
          <t>Cercle dans le plan – Équations paramétriques</t>
        </is>
      </c>
      <c r="G128" s="12" t="inlineStr">
        <is>
          <t>$x=x_\Omega+R\cos\theta$, $y=y_\Omega+R\sin\theta$, $\theta\in\mathbb R$.</t>
        </is>
      </c>
      <c r="H128" s="12" t="inlineStr">
        <is>
          <t>Programme muet : notion non mentionnée. (seule l'équation cartésienne du cercle est citée)</t>
        </is>
      </c>
      <c r="I128" s="12" t="n">
        <v>59</v>
      </c>
      <c r="J128" s="12" t="inlineStr"/>
      <c r="K128" s="14" t="n"/>
      <c r="L128" s="14" t="n"/>
    </row>
    <row r="129">
      <c r="A129" s="12" t="inlineStr">
        <is>
          <t>M128</t>
        </is>
      </c>
      <c r="B129" s="13" t="inlineStr">
        <is>
          <t>Orange – incertain</t>
        </is>
      </c>
      <c r="C129" s="12" t="inlineStr">
        <is>
          <t>BCPST1</t>
        </is>
      </c>
      <c r="D129" s="12" t="inlineStr">
        <is>
          <t>BCPST1 · Géométrie 1</t>
        </is>
      </c>
      <c r="E129" s="12" t="inlineStr">
        <is>
          <t>Définition</t>
        </is>
      </c>
      <c r="F129" s="13" t="inlineStr">
        <is>
          <t>Orientation du plan affine</t>
        </is>
      </c>
      <c r="G129" s="12" t="inlineStr">
        <is>
          <t>Pour un repère orthonormal, $x_1y_2-x_2y_1=\pm1$ ; il est direct si cette quantité vaut 1 (sens trigonométrique), indirect sinon.</t>
        </is>
      </c>
      <c r="H129" s="12" t="inlineStr">
        <is>
          <t>Programme muet : notion non mentionnée. « Aucun développement sur la notion d'angle orienté n'est un attendu du programme. »</t>
        </is>
      </c>
      <c r="I129" s="12" t="n">
        <v>59</v>
      </c>
      <c r="J129" s="12" t="inlineStr"/>
      <c r="K129" s="14" t="n"/>
      <c r="L129" s="14" t="n"/>
    </row>
    <row r="130">
      <c r="A130" s="12" t="inlineStr">
        <is>
          <t>M129</t>
        </is>
      </c>
      <c r="B130" s="13" t="inlineStr">
        <is>
          <t>Orange – incertain</t>
        </is>
      </c>
      <c r="C130" s="12" t="inlineStr">
        <is>
          <t>BCPST1</t>
        </is>
      </c>
      <c r="D130" s="12" t="inlineStr">
        <is>
          <t>BCPST1 · Géométrie 1</t>
        </is>
      </c>
      <c r="E130" s="12" t="inlineStr">
        <is>
          <t>Définition</t>
        </is>
      </c>
      <c r="F130" s="13" t="inlineStr">
        <is>
          <t>Angle orienté de deux vecteurs du plan – Définition</t>
        </is>
      </c>
      <c r="G130" s="12" t="inlineStr">
        <is>
          <t>$(\vec u,\vec v)$ : mesure algébrique (modulo $2\pi$) de l'arc orienté du cercle unité allant de $\vec u/\|\vec u\|$ à $\vec v/\|\vec v\|$.</t>
        </is>
      </c>
      <c r="H130" s="12" t="inlineStr">
        <is>
          <t>L'angle orienté est « supposé connu » mais « Aucun développement sur la notion d'angle orienté n'est un attendu du programme. »</t>
        </is>
      </c>
      <c r="I130" s="12" t="n">
        <v>59</v>
      </c>
      <c r="J130" s="12" t="inlineStr"/>
      <c r="K130" s="14" t="n"/>
      <c r="L130" s="14" t="n"/>
    </row>
    <row r="131">
      <c r="A131" s="15" t="inlineStr">
        <is>
          <t>M130</t>
        </is>
      </c>
      <c r="B131" s="16" t="inlineStr">
        <is>
          <t>Rouge – hors programme</t>
        </is>
      </c>
      <c r="C131" s="15" t="inlineStr">
        <is>
          <t>BCPST1</t>
        </is>
      </c>
      <c r="D131" s="15" t="inlineStr">
        <is>
          <t>BCPST1 · Géométrie 1</t>
        </is>
      </c>
      <c r="E131" s="15" t="inlineStr">
        <is>
          <t>Propriété</t>
        </is>
      </c>
      <c r="F131" s="16" t="inlineStr">
        <is>
          <t>Angle orienté de deux vecteurs du plan – Propriétés</t>
        </is>
      </c>
      <c r="G131" s="15" t="inlineStr">
        <is>
          <t>Chasles : $(\vec u,\vec w)=(\vec u,\vec v)+(\vec v,\vec w)\ [2\pi]$ ; $(\vec u,\vec u)=0$ ; $(\vec u,-\vec u)=\pi$ ; $(\vec v,\vec u)=-(\vec u,\vec v)\ [2\pi]$.</t>
        </is>
      </c>
      <c r="H131" s="15" t="inlineStr">
        <is>
          <t>« Aucun développement sur la notion d'angle orienté n'est un attendu du programme. »</t>
        </is>
      </c>
      <c r="I131" s="15" t="n">
        <v>60</v>
      </c>
      <c r="J131" s="15" t="inlineStr"/>
      <c r="K131" s="17" t="n"/>
      <c r="L131" s="17" t="n"/>
    </row>
    <row r="132">
      <c r="A132" s="9" t="inlineStr">
        <is>
          <t>M131</t>
        </is>
      </c>
      <c r="B132" s="10" t="inlineStr">
        <is>
          <t>Noir – conforme</t>
        </is>
      </c>
      <c r="C132" s="9" t="inlineStr">
        <is>
          <t>BCPST1</t>
        </is>
      </c>
      <c r="D132" s="9" t="inlineStr">
        <is>
          <t>BCPST1 · Géométrie 1</t>
        </is>
      </c>
      <c r="E132" s="9" t="inlineStr">
        <is>
          <t>Définition</t>
        </is>
      </c>
      <c r="F132" s="10" t="inlineStr">
        <is>
          <t>Angle géométrique de deux vecteurs du plan – Définition</t>
        </is>
      </c>
      <c r="G132" s="9" t="inlineStr">
        <is>
          <t>Unique $\theta\in[0,\pi]$ tel que $\cos\theta=\dfrac{\vec u\cdot\vec v}{\|\vec u\|\|\vec v\|}$.</t>
        </is>
      </c>
      <c r="H132" s="9" t="inlineStr">
        <is>
          <t>« Formulation du produit scalaire à l'aide du cosinus de l'angle formé entre deux vecteurs non nuls. »</t>
        </is>
      </c>
      <c r="I132" s="9" t="n">
        <v>60</v>
      </c>
      <c r="J132" s="9" t="inlineStr"/>
      <c r="K132" s="11" t="n"/>
      <c r="L132" s="11" t="n"/>
    </row>
    <row r="133">
      <c r="A133" s="12" t="inlineStr">
        <is>
          <t>M132</t>
        </is>
      </c>
      <c r="B133" s="13" t="inlineStr">
        <is>
          <t>Orange – incertain</t>
        </is>
      </c>
      <c r="C133" s="12" t="inlineStr">
        <is>
          <t>BCPST1</t>
        </is>
      </c>
      <c r="D133" s="12" t="inlineStr">
        <is>
          <t>BCPST1 · Géométrie 1</t>
        </is>
      </c>
      <c r="E133" s="12" t="inlineStr">
        <is>
          <t>Définition</t>
        </is>
      </c>
      <c r="F133" s="13" t="inlineStr">
        <is>
          <t>Angle de deux droites du plan – Définition</t>
        </is>
      </c>
      <c r="G133" s="12" t="inlineStr">
        <is>
          <t>Unique $\alpha\in[0,\frac\pi2]$ tel que $\cos\alpha=\dfrac{|\vec u\cdot\vec v|}{\|\vec u\|\|\vec v\|}$.</t>
        </is>
      </c>
      <c r="H133" s="12" t="inlineStr">
        <is>
          <t>Programme muet : notion non mentionnée.</t>
        </is>
      </c>
      <c r="I133" s="12" t="n">
        <v>60</v>
      </c>
      <c r="J133" s="12" t="inlineStr"/>
      <c r="K133" s="14" t="n"/>
      <c r="L133" s="14" t="n"/>
    </row>
    <row r="134">
      <c r="A134" s="9" t="inlineStr">
        <is>
          <t>M133</t>
        </is>
      </c>
      <c r="B134" s="10" t="inlineStr">
        <is>
          <t>Noir – conforme</t>
        </is>
      </c>
      <c r="C134" s="9" t="inlineStr">
        <is>
          <t>BCPST1</t>
        </is>
      </c>
      <c r="D134" s="9" t="inlineStr">
        <is>
          <t>BCPST1 · Géométrie 1</t>
        </is>
      </c>
      <c r="E134" s="9" t="inlineStr">
        <is>
          <t>Propriété</t>
        </is>
      </c>
      <c r="F134" s="10" t="inlineStr">
        <is>
          <t>Propriétés fondamentales de l'espace affine</t>
        </is>
      </c>
      <c r="G134" s="9" t="inlineStr">
        <is>
          <t>Pour tout $O$ et tout $\vec u\in\mathbb R^3$, il existe un unique $M$ tel que $\overrightarrow{OM}=\vec u$ ; relation de Chasles.</t>
        </is>
      </c>
      <c r="H134" s="9" t="inlineStr">
        <is>
          <t>« il existe un et un seul point M tel que OM = u … Relation de Chasles. »</t>
        </is>
      </c>
      <c r="I134" s="9" t="n">
        <v>60</v>
      </c>
      <c r="J134" s="9" t="inlineStr">
        <is>
          <t>Cadre à cheval sur les pages 60 et 61</t>
        </is>
      </c>
      <c r="K134" s="11" t="n"/>
      <c r="L134" s="11" t="n"/>
    </row>
    <row r="135">
      <c r="A135" s="9" t="inlineStr">
        <is>
          <t>M134</t>
        </is>
      </c>
      <c r="B135" s="10" t="inlineStr">
        <is>
          <t>Noir – conforme</t>
        </is>
      </c>
      <c r="C135" s="9" t="inlineStr">
        <is>
          <t>BCPST1</t>
        </is>
      </c>
      <c r="D135" s="9" t="inlineStr">
        <is>
          <t>BCPST1 · Géométrie 1</t>
        </is>
      </c>
      <c r="E135" s="9" t="inlineStr">
        <is>
          <t>Définition</t>
        </is>
      </c>
      <c r="F135" s="10" t="inlineStr">
        <is>
          <t>Repères cartésiens et coordonnées (espace)</t>
        </is>
      </c>
      <c r="G135" s="9" t="inlineStr">
        <is>
          <t>Repère $(O;\vec i,\vec j,\vec k)$ ; $\overrightarrow{OM}=x\vec i+y\vec j+z\vec k$.</t>
        </is>
      </c>
      <c r="H135" s="9" t="inlineStr">
        <is>
          <t>« Bases et repères du plan et de l'espace. »</t>
        </is>
      </c>
      <c r="I135" s="9" t="n">
        <v>61</v>
      </c>
      <c r="J135" s="9" t="inlineStr"/>
      <c r="K135" s="11" t="n"/>
      <c r="L135" s="11" t="n"/>
    </row>
    <row r="136">
      <c r="A136" s="9" t="inlineStr">
        <is>
          <t>M135</t>
        </is>
      </c>
      <c r="B136" s="10" t="inlineStr">
        <is>
          <t>Noir – conforme</t>
        </is>
      </c>
      <c r="C136" s="9" t="inlineStr">
        <is>
          <t>BCPST1</t>
        </is>
      </c>
      <c r="D136" s="9" t="inlineStr">
        <is>
          <t>BCPST1 · Géométrie 1</t>
        </is>
      </c>
      <c r="E136" s="9" t="inlineStr">
        <is>
          <t>Propriété</t>
        </is>
      </c>
      <c r="F136" s="10" t="inlineStr">
        <is>
          <t>Calcul des coordonnées d'un vecteur (espace)</t>
        </is>
      </c>
      <c r="G136" s="9" t="inlineStr">
        <is>
          <t>$\overrightarrow{AB}=(x_B-x_A,\ y_B-y_A,\ z_B-z_A)$.</t>
        </is>
      </c>
      <c r="H136" s="9" t="inlineStr">
        <is>
          <t>Coordonnées dans un repère de l'espace.</t>
        </is>
      </c>
      <c r="I136" s="9" t="n">
        <v>61</v>
      </c>
      <c r="J136" s="9" t="inlineStr"/>
      <c r="K136" s="11" t="n"/>
      <c r="L136" s="11" t="n"/>
    </row>
    <row r="137">
      <c r="A137" s="9" t="inlineStr">
        <is>
          <t>M136</t>
        </is>
      </c>
      <c r="B137" s="10" t="inlineStr">
        <is>
          <t>Noir – conforme</t>
        </is>
      </c>
      <c r="C137" s="9" t="inlineStr">
        <is>
          <t>BCPST1</t>
        </is>
      </c>
      <c r="D137" s="9" t="inlineStr">
        <is>
          <t>BCPST1 · Géométrie 1</t>
        </is>
      </c>
      <c r="E137" s="9" t="inlineStr">
        <is>
          <t>Définition</t>
        </is>
      </c>
      <c r="F137" s="10" t="inlineStr">
        <is>
          <t>Colinéarité de deux vecteurs de l'espace – Définition</t>
        </is>
      </c>
      <c r="G137" s="9" t="inlineStr">
        <is>
          <t>$\vec u,\vec v$ colinéaires si $(\vec u,\vec v)$ est liée.</t>
        </is>
      </c>
      <c r="H137" s="9" t="inlineStr">
        <is>
          <t>« Colinéarité. »</t>
        </is>
      </c>
      <c r="I137" s="9" t="n">
        <v>61</v>
      </c>
      <c r="J137" s="9" t="inlineStr"/>
      <c r="K137" s="11" t="n"/>
      <c r="L137" s="11" t="n"/>
    </row>
    <row r="138">
      <c r="A138" s="9" t="inlineStr">
        <is>
          <t>M137</t>
        </is>
      </c>
      <c r="B138" s="10" t="inlineStr">
        <is>
          <t>Noir – conforme</t>
        </is>
      </c>
      <c r="C138" s="9" t="inlineStr">
        <is>
          <t>BCPST1</t>
        </is>
      </c>
      <c r="D138" s="9" t="inlineStr">
        <is>
          <t>BCPST1 · Géométrie 1</t>
        </is>
      </c>
      <c r="E138" s="9" t="inlineStr">
        <is>
          <t>Définition</t>
        </is>
      </c>
      <c r="F138" s="10" t="inlineStr">
        <is>
          <t>Coplanarité de trois vecteurs – Définition</t>
        </is>
      </c>
      <c r="G138" s="9" t="inlineStr">
        <is>
          <t>$\vec u,\vec v,\vec w$ sont coplanaires si la famille $(\vec u,\vec v,\vec w)$ est liée.</t>
        </is>
      </c>
      <c r="H138" s="9" t="inlineStr">
        <is>
          <t>« Coplanarité. »</t>
        </is>
      </c>
      <c r="I138" s="9" t="n">
        <v>61</v>
      </c>
      <c r="J138" s="9" t="inlineStr">
        <is>
          <t>Titre de l'ouvrage : « Coplanarité de deux vecteurs » (coquille)</t>
        </is>
      </c>
      <c r="K138" s="11" t="n"/>
      <c r="L138" s="11" t="n"/>
    </row>
    <row r="139">
      <c r="A139" s="12" t="inlineStr">
        <is>
          <t>M138</t>
        </is>
      </c>
      <c r="B139" s="13" t="inlineStr">
        <is>
          <t>Orange – incertain</t>
        </is>
      </c>
      <c r="C139" s="12" t="inlineStr">
        <is>
          <t>BCPST1</t>
        </is>
      </c>
      <c r="D139" s="12" t="inlineStr">
        <is>
          <t>BCPST1 · Géométrie 1</t>
        </is>
      </c>
      <c r="E139" s="12" t="inlineStr">
        <is>
          <t>Définition</t>
        </is>
      </c>
      <c r="F139" s="13" t="inlineStr">
        <is>
          <t>Milieu d'un segment – Définition (espace)</t>
        </is>
      </c>
      <c r="G139" s="12" t="inlineStr">
        <is>
          <t>$I$ milieu de $[AB]$ : $\overrightarrow{AI}=\overrightarrow{IB}$.</t>
        </is>
      </c>
      <c r="H139" s="12" t="inlineStr">
        <is>
          <t>Programme muet : notion non mentionnée. (acquis du lycée)</t>
        </is>
      </c>
      <c r="I139" s="12" t="n">
        <v>61</v>
      </c>
      <c r="J139" s="12" t="inlineStr"/>
      <c r="K139" s="14" t="n"/>
      <c r="L139" s="14" t="n"/>
    </row>
    <row r="140">
      <c r="A140" s="12" t="inlineStr">
        <is>
          <t>M139</t>
        </is>
      </c>
      <c r="B140" s="13" t="inlineStr">
        <is>
          <t>Orange – incertain</t>
        </is>
      </c>
      <c r="C140" s="12" t="inlineStr">
        <is>
          <t>BCPST1</t>
        </is>
      </c>
      <c r="D140" s="12" t="inlineStr">
        <is>
          <t>BCPST1 · Géométrie 1</t>
        </is>
      </c>
      <c r="E140" s="12" t="inlineStr">
        <is>
          <t>Propriété</t>
        </is>
      </c>
      <c r="F140" s="13" t="inlineStr">
        <is>
          <t>Milieu d'un segment – Coordonnées (espace)</t>
        </is>
      </c>
      <c r="G140" s="12" t="inlineStr">
        <is>
          <t>$I=\left(\frac{x_A+x_B}2,\frac{y_A+y_B}2,\frac{z_A+z_B}2\right)$.</t>
        </is>
      </c>
      <c r="H140" s="12" t="inlineStr">
        <is>
          <t>Programme muet : notion non mentionnée. (acquis du lycée)</t>
        </is>
      </c>
      <c r="I140" s="12" t="n">
        <v>62</v>
      </c>
      <c r="J140" s="12" t="inlineStr"/>
      <c r="K140" s="14" t="n"/>
      <c r="L140" s="14" t="n"/>
    </row>
    <row r="141">
      <c r="A141" s="9" t="inlineStr">
        <is>
          <t>M140</t>
        </is>
      </c>
      <c r="B141" s="10" t="inlineStr">
        <is>
          <t>Noir – conforme</t>
        </is>
      </c>
      <c r="C141" s="9" t="inlineStr">
        <is>
          <t>BCPST1</t>
        </is>
      </c>
      <c r="D141" s="9" t="inlineStr">
        <is>
          <t>BCPST1 · Géométrie 1</t>
        </is>
      </c>
      <c r="E141" s="9" t="inlineStr">
        <is>
          <t>Définition</t>
        </is>
      </c>
      <c r="F141" s="10" t="inlineStr">
        <is>
          <t>Produit scalaire et norme euclidienne dans la base canonique (espace)</t>
        </is>
      </c>
      <c r="G141" s="9" t="inlineStr">
        <is>
          <t>$\vec u\cdot\vec v=xx'+yy'+zz'$ ; $\|\vec u\|=\sqrt{x^2+y^2+z^2}$.</t>
        </is>
      </c>
      <c r="H141" s="9" t="inlineStr">
        <is>
          <t>« Expression du produit scalaire à partir des coordonnées dans une base orthonormée. »</t>
        </is>
      </c>
      <c r="I141" s="9" t="n">
        <v>62</v>
      </c>
      <c r="J141" s="9" t="inlineStr"/>
      <c r="K141" s="11" t="n"/>
      <c r="L141" s="11" t="n"/>
    </row>
    <row r="142">
      <c r="A142" s="9" t="inlineStr">
        <is>
          <t>M141</t>
        </is>
      </c>
      <c r="B142" s="10" t="inlineStr">
        <is>
          <t>Noir – conforme</t>
        </is>
      </c>
      <c r="C142" s="9" t="inlineStr">
        <is>
          <t>BCPST1</t>
        </is>
      </c>
      <c r="D142" s="9" t="inlineStr">
        <is>
          <t>BCPST1 · Géométrie 1</t>
        </is>
      </c>
      <c r="E142" s="9" t="inlineStr">
        <is>
          <t>Définition</t>
        </is>
      </c>
      <c r="F142" s="10" t="inlineStr">
        <is>
          <t>Bases et repères orthonormaux (espace)</t>
        </is>
      </c>
      <c r="G142" s="9" t="inlineStr">
        <is>
          <t>$(\vec i,\vec j,\vec k)$ est orthonormale si les vecteurs sont unitaires et deux à deux orthogonaux.</t>
        </is>
      </c>
      <c r="H142" s="9" t="inlineStr">
        <is>
          <t>« trois vecteurs orthogonaux de norme 1 ».</t>
        </is>
      </c>
      <c r="I142" s="9" t="n">
        <v>62</v>
      </c>
      <c r="J142" s="9" t="inlineStr">
        <is>
          <t>L'ouvrage n'écrit que $\vec i\cdot\vec j=0$ et omet $\|\vec k\|=1$ (cadre incomplet)</t>
        </is>
      </c>
      <c r="K142" s="11" t="n"/>
      <c r="L142" s="11" t="n"/>
    </row>
    <row r="143">
      <c r="A143" s="9" t="inlineStr">
        <is>
          <t>M142</t>
        </is>
      </c>
      <c r="B143" s="10" t="inlineStr">
        <is>
          <t>Noir – conforme</t>
        </is>
      </c>
      <c r="C143" s="9" t="inlineStr">
        <is>
          <t>BCPST1</t>
        </is>
      </c>
      <c r="D143" s="9" t="inlineStr">
        <is>
          <t>BCPST1 · Géométrie 1</t>
        </is>
      </c>
      <c r="E143" s="9" t="inlineStr">
        <is>
          <t>Propriété</t>
        </is>
      </c>
      <c r="F143" s="10" t="inlineStr">
        <is>
          <t>Règles de calcul pour le produit scalaire et la norme (espace)</t>
        </is>
      </c>
      <c r="G143" s="9" t="inlineStr">
        <is>
          <t>Mêmes règles que dans le plan : bilinéarité, symétrie, $\|\lambda\vec u\|=|\lambda|\|\vec u\|$, identités remarquables.</t>
        </is>
      </c>
      <c r="H143" s="9" t="inlineStr">
        <is>
          <t>« Propriétés : symétrie, bilinéarité, positivité. Lien avec la norme. »</t>
        </is>
      </c>
      <c r="I143" s="9" t="n">
        <v>63</v>
      </c>
      <c r="J143" s="9" t="inlineStr">
        <is>
          <t>Doublon de la version « plan » (p. 54)</t>
        </is>
      </c>
      <c r="K143" s="11" t="n"/>
      <c r="L143" s="11" t="n"/>
    </row>
    <row r="144">
      <c r="A144" s="9" t="inlineStr">
        <is>
          <t>M143</t>
        </is>
      </c>
      <c r="B144" s="10" t="inlineStr">
        <is>
          <t>Noir – conforme</t>
        </is>
      </c>
      <c r="C144" s="9" t="inlineStr">
        <is>
          <t>BCPST1</t>
        </is>
      </c>
      <c r="D144" s="9" t="inlineStr">
        <is>
          <t>BCPST1 · Géométrie 1</t>
        </is>
      </c>
      <c r="E144" s="9" t="inlineStr">
        <is>
          <t>Définition</t>
        </is>
      </c>
      <c r="F144" s="10" t="inlineStr">
        <is>
          <t>Plan dans l'espace – Définition</t>
        </is>
      </c>
      <c r="G144" s="9" t="inlineStr">
        <is>
          <t>Plan passant par $A$ engendré par $(\vec u,\vec v)$ libre : $\{M,\ \overrightarrow{AM}\in\mathrm{Vect}(\vec u,\vec v)\}$.</t>
        </is>
      </c>
      <c r="H144" s="9" t="inlineStr">
        <is>
          <t>« Un plan est déterminé par la donnée d'un point A et de deux vecteurs u, v non colinéaires. »</t>
        </is>
      </c>
      <c r="I144" s="9" t="n">
        <v>64</v>
      </c>
      <c r="J144" s="9" t="inlineStr"/>
      <c r="K144" s="11" t="n"/>
      <c r="L144" s="11" t="n"/>
    </row>
    <row r="145">
      <c r="A145" s="9" t="inlineStr">
        <is>
          <t>M144</t>
        </is>
      </c>
      <c r="B145" s="10" t="inlineStr">
        <is>
          <t>Noir – conforme</t>
        </is>
      </c>
      <c r="C145" s="9" t="inlineStr">
        <is>
          <t>BCPST1</t>
        </is>
      </c>
      <c r="D145" s="9" t="inlineStr">
        <is>
          <t>BCPST1 · Géométrie 1</t>
        </is>
      </c>
      <c r="E145" s="9" t="inlineStr">
        <is>
          <t>Propriété</t>
        </is>
      </c>
      <c r="F145" s="10" t="inlineStr">
        <is>
          <t>Plan dans l'espace – Équation cartésienne</t>
        </is>
      </c>
      <c r="G145" s="9" t="inlineStr">
        <is>
          <t>$ax+by+cz+d=0$ avec $(a,b,c)\neq(0,0,0)$ est un plan.</t>
        </is>
      </c>
      <c r="H145" s="9" t="inlineStr">
        <is>
          <t>« Équation cartésienne d'un plan obtenue à l'aide d'un vecteur normal. »</t>
        </is>
      </c>
      <c r="I145" s="9" t="n">
        <v>65</v>
      </c>
      <c r="J145" s="9" t="inlineStr"/>
      <c r="K145" s="11" t="n"/>
      <c r="L145" s="11" t="n"/>
    </row>
    <row r="146">
      <c r="A146" s="9" t="inlineStr">
        <is>
          <t>M145</t>
        </is>
      </c>
      <c r="B146" s="10" t="inlineStr">
        <is>
          <t>Noir – conforme</t>
        </is>
      </c>
      <c r="C146" s="9" t="inlineStr">
        <is>
          <t>BCPST1</t>
        </is>
      </c>
      <c r="D146" s="9" t="inlineStr">
        <is>
          <t>BCPST1 · Géométrie 1</t>
        </is>
      </c>
      <c r="E146" s="9" t="inlineStr">
        <is>
          <t>Propriété</t>
        </is>
      </c>
      <c r="F146" s="10" t="inlineStr">
        <is>
          <t>Plan dans l'espace – Équations paramétriques</t>
        </is>
      </c>
      <c r="G146" s="9" t="inlineStr">
        <is>
          <t>$M=A+s\vec u+t\vec v$ ($s,t\in\mathbb R$), avec $\vec u,\vec v$ non colinéaires.</t>
        </is>
      </c>
      <c r="H146" s="9" t="inlineStr">
        <is>
          <t>« Représentation paramétrique d'un plan. »</t>
        </is>
      </c>
      <c r="I146" s="9" t="n">
        <v>65</v>
      </c>
      <c r="J146" s="9" t="inlineStr"/>
      <c r="K146" s="11" t="n"/>
      <c r="L146" s="11" t="n"/>
    </row>
    <row r="147">
      <c r="A147" s="9" t="inlineStr">
        <is>
          <t>M146</t>
        </is>
      </c>
      <c r="B147" s="10" t="inlineStr">
        <is>
          <t>Noir – conforme</t>
        </is>
      </c>
      <c r="C147" s="9" t="inlineStr">
        <is>
          <t>BCPST1</t>
        </is>
      </c>
      <c r="D147" s="9" t="inlineStr">
        <is>
          <t>BCPST1 · Géométrie 1</t>
        </is>
      </c>
      <c r="E147" s="9" t="inlineStr">
        <is>
          <t>Définition</t>
        </is>
      </c>
      <c r="F147" s="10" t="inlineStr">
        <is>
          <t>Vecteur normal à un plan – Définition</t>
        </is>
      </c>
      <c r="G147" s="9" t="inlineStr">
        <is>
          <t>$\vec N$ est normal à $P$ s'il est orthogonal à deux vecteurs engendrant $P$ (donc à tout vecteur de $P$).</t>
        </is>
      </c>
      <c r="H147" s="9" t="inlineStr">
        <is>
          <t>« Vecteur normal à un plan. »</t>
        </is>
      </c>
      <c r="I147" s="9" t="n">
        <v>65</v>
      </c>
      <c r="J147" s="9" t="inlineStr"/>
      <c r="K147" s="11" t="n"/>
      <c r="L147" s="11" t="n"/>
    </row>
    <row r="148">
      <c r="A148" s="9" t="inlineStr">
        <is>
          <t>M147</t>
        </is>
      </c>
      <c r="B148" s="10" t="inlineStr">
        <is>
          <t>Noir – conforme</t>
        </is>
      </c>
      <c r="C148" s="9" t="inlineStr">
        <is>
          <t>BCPST1</t>
        </is>
      </c>
      <c r="D148" s="9" t="inlineStr">
        <is>
          <t>BCPST1 · Géométrie 1</t>
        </is>
      </c>
      <c r="E148" s="9" t="inlineStr">
        <is>
          <t>Définition</t>
        </is>
      </c>
      <c r="F148" s="10" t="inlineStr">
        <is>
          <t>Parallélisme de deux plans – Définition</t>
        </is>
      </c>
      <c r="G148" s="9" t="inlineStr">
        <is>
          <t>Deux plans sont parallèles s'ils sont engendrés par les mêmes vecteurs (même direction vectorielle).</t>
        </is>
      </c>
      <c r="H148" s="9" t="inlineStr">
        <is>
          <t>« supposés connus : … parallélisme ».</t>
        </is>
      </c>
      <c r="I148" s="9" t="n">
        <v>66</v>
      </c>
      <c r="J148" s="9" t="inlineStr">
        <is>
          <t>Coquille dans l'ouvrage (« deux droites »)</t>
        </is>
      </c>
      <c r="K148" s="11" t="n"/>
      <c r="L148" s="11" t="n"/>
    </row>
    <row r="149">
      <c r="A149" s="9" t="inlineStr">
        <is>
          <t>M148</t>
        </is>
      </c>
      <c r="B149" s="10" t="inlineStr">
        <is>
          <t>Noir – conforme</t>
        </is>
      </c>
      <c r="C149" s="9" t="inlineStr">
        <is>
          <t>BCPST1</t>
        </is>
      </c>
      <c r="D149" s="9" t="inlineStr">
        <is>
          <t>BCPST1 · Géométrie 1</t>
        </is>
      </c>
      <c r="E149" s="9" t="inlineStr">
        <is>
          <t>Propriété</t>
        </is>
      </c>
      <c r="F149" s="10" t="inlineStr">
        <is>
          <t>Vecteur normal à un plan – Propriété</t>
        </is>
      </c>
      <c r="G149" s="9" t="inlineStr">
        <is>
          <t>En repère orthonormal, $ax+by+cz+d=0$ admet $\vec N(a,b,c)$ comme vecteur normal ; les plans de normale $(a,b,c)$ sont les $ax+by+cz+d=0$, $d\in\mathbb R$.</t>
        </is>
      </c>
      <c r="H149" s="9" t="inlineStr">
        <is>
          <t>« Équation cartésienne d'un plan obtenue à l'aide d'un vecteur normal. »</t>
        </is>
      </c>
      <c r="I149" s="9" t="n">
        <v>66</v>
      </c>
      <c r="J149" s="9" t="inlineStr"/>
      <c r="K149" s="11" t="n"/>
      <c r="L149" s="11" t="n"/>
    </row>
    <row r="150">
      <c r="A150" s="12" t="inlineStr">
        <is>
          <t>M149</t>
        </is>
      </c>
      <c r="B150" s="13" t="inlineStr">
        <is>
          <t>Orange – incertain</t>
        </is>
      </c>
      <c r="C150" s="12" t="inlineStr">
        <is>
          <t>BCPST1</t>
        </is>
      </c>
      <c r="D150" s="12" t="inlineStr">
        <is>
          <t>BCPST1 · Géométrie 1</t>
        </is>
      </c>
      <c r="E150" s="12" t="inlineStr">
        <is>
          <t>Propriété</t>
        </is>
      </c>
      <c r="F150" s="13" t="inlineStr">
        <is>
          <t>Parallélisme de deux plans – Propriété</t>
        </is>
      </c>
      <c r="G150" s="12" t="inlineStr">
        <is>
          <t>$ax+by+cz+d=0$ et $\alpha x+\beta y+\gamma z+\delta=0$ sont parallèles $\iff(a,b,c)$ et $(\alpha,\beta,\gamma)$ sont proportionnels.</t>
        </is>
      </c>
      <c r="H150" s="12" t="inlineStr">
        <is>
          <t>Programme muet : notion non mentionnée.</t>
        </is>
      </c>
      <c r="I150" s="12" t="n">
        <v>66</v>
      </c>
      <c r="J150" s="12" t="inlineStr"/>
      <c r="K150" s="14" t="n"/>
      <c r="L150" s="14" t="n"/>
    </row>
    <row r="151">
      <c r="A151" s="12" t="inlineStr">
        <is>
          <t>M150</t>
        </is>
      </c>
      <c r="B151" s="13" t="inlineStr">
        <is>
          <t>Orange – incertain</t>
        </is>
      </c>
      <c r="C151" s="12" t="inlineStr">
        <is>
          <t>BCPST1</t>
        </is>
      </c>
      <c r="D151" s="12" t="inlineStr">
        <is>
          <t>BCPST1 · Géométrie 1</t>
        </is>
      </c>
      <c r="E151" s="12" t="inlineStr">
        <is>
          <t>Définition</t>
        </is>
      </c>
      <c r="F151" s="13" t="inlineStr">
        <is>
          <t>Orthogonalité de deux plans – Définition</t>
        </is>
      </c>
      <c r="G151" s="12" t="inlineStr">
        <is>
          <t>$P_1\perp P_2$ si un vecteur normal de $P_1$ est orthogonal à un vecteur normal de $P_2$.</t>
        </is>
      </c>
      <c r="H151" s="12" t="inlineStr">
        <is>
          <t>Programme muet : notion non mentionnée.</t>
        </is>
      </c>
      <c r="I151" s="12" t="n">
        <v>66</v>
      </c>
      <c r="J151" s="12" t="inlineStr"/>
      <c r="K151" s="14" t="n"/>
      <c r="L151" s="14" t="n"/>
    </row>
    <row r="152">
      <c r="A152" s="12" t="inlineStr">
        <is>
          <t>M151</t>
        </is>
      </c>
      <c r="B152" s="13" t="inlineStr">
        <is>
          <t>Orange – incertain</t>
        </is>
      </c>
      <c r="C152" s="12" t="inlineStr">
        <is>
          <t>BCPST1</t>
        </is>
      </c>
      <c r="D152" s="12" t="inlineStr">
        <is>
          <t>BCPST1 · Géométrie 1</t>
        </is>
      </c>
      <c r="E152" s="12" t="inlineStr">
        <is>
          <t>Propriété</t>
        </is>
      </c>
      <c r="F152" s="13" t="inlineStr">
        <is>
          <t>Orthogonalité de deux plans – Propriété</t>
        </is>
      </c>
      <c r="G152" s="12" t="inlineStr">
        <is>
          <t>En repère orthonormal : $P_1\perp P_2\iff a\alpha+b\beta+c\gamma=0$.</t>
        </is>
      </c>
      <c r="H152" s="12" t="inlineStr">
        <is>
          <t>Programme muet : notion non mentionnée.</t>
        </is>
      </c>
      <c r="I152" s="12" t="n">
        <v>66</v>
      </c>
      <c r="J152" s="12" t="inlineStr"/>
      <c r="K152" s="14" t="n"/>
      <c r="L152" s="14" t="n"/>
    </row>
    <row r="153">
      <c r="A153" s="9" t="inlineStr">
        <is>
          <t>M152</t>
        </is>
      </c>
      <c r="B153" s="10" t="inlineStr">
        <is>
          <t>Noir – conforme</t>
        </is>
      </c>
      <c r="C153" s="9" t="inlineStr">
        <is>
          <t>BCPST1</t>
        </is>
      </c>
      <c r="D153" s="9" t="inlineStr">
        <is>
          <t>BCPST1 · Géométrie 1</t>
        </is>
      </c>
      <c r="E153" s="9" t="inlineStr">
        <is>
          <t>Définition</t>
        </is>
      </c>
      <c r="F153" s="10" t="inlineStr">
        <is>
          <t>Projection orthogonale sur un plan – Définition</t>
        </is>
      </c>
      <c r="G153" s="9" t="inlineStr">
        <is>
          <t>Le projeté orthogonal de $M$ sur $P$ (de normale $\vec N$) est l'unique $H\in P$ tel que $\overrightarrow{MH}$ soit colinéaire à $\vec N$.</t>
        </is>
      </c>
      <c r="H153" s="9" t="inlineStr">
        <is>
          <t>« Projection orthogonale d'un point M sur un plan affine P … l'unique point H du plan tel que HM est orthogonal aux vecteurs u et v. »</t>
        </is>
      </c>
      <c r="I153" s="9" t="n">
        <v>67</v>
      </c>
      <c r="J153" s="9" t="inlineStr"/>
      <c r="K153" s="11" t="n"/>
      <c r="L153" s="11" t="n"/>
    </row>
    <row r="154">
      <c r="A154" s="9" t="inlineStr">
        <is>
          <t>M153</t>
        </is>
      </c>
      <c r="B154" s="10" t="inlineStr">
        <is>
          <t>Noir – conforme</t>
        </is>
      </c>
      <c r="C154" s="9" t="inlineStr">
        <is>
          <t>BCPST1</t>
        </is>
      </c>
      <c r="D154" s="9" t="inlineStr">
        <is>
          <t>BCPST1 · Géométrie 1</t>
        </is>
      </c>
      <c r="E154" s="9" t="inlineStr">
        <is>
          <t>Définition</t>
        </is>
      </c>
      <c r="F154" s="10" t="inlineStr">
        <is>
          <t>Distance d'un point à un plan – Définition</t>
        </is>
      </c>
      <c r="G154" s="9" t="inlineStr">
        <is>
          <t>$d(A,P)=\inf_{M\in P}AM$.</t>
        </is>
      </c>
      <c r="H154" s="9" t="inlineStr">
        <is>
          <t>« Lien avec la distance entre le point M et le plan P. »</t>
        </is>
      </c>
      <c r="I154" s="9" t="n">
        <v>67</v>
      </c>
      <c r="J154" s="9" t="inlineStr"/>
      <c r="K154" s="11" t="n"/>
      <c r="L154" s="11" t="n"/>
    </row>
    <row r="155">
      <c r="A155" s="9" t="inlineStr">
        <is>
          <t>M154</t>
        </is>
      </c>
      <c r="B155" s="10" t="inlineStr">
        <is>
          <t>Noir – conforme</t>
        </is>
      </c>
      <c r="C155" s="9" t="inlineStr">
        <is>
          <t>BCPST1</t>
        </is>
      </c>
      <c r="D155" s="9" t="inlineStr">
        <is>
          <t>BCPST1 · Géométrie 1</t>
        </is>
      </c>
      <c r="E155" s="9" t="inlineStr">
        <is>
          <t>Propriété</t>
        </is>
      </c>
      <c r="F155" s="10" t="inlineStr">
        <is>
          <t>Distance d'un point à un plan – Propriété</t>
        </is>
      </c>
      <c r="G155" s="9" t="inlineStr">
        <is>
          <t>$d(A,P)=AH$, $H$ projeté orthogonal de $A$ sur $P$ (c'est un minimum).</t>
        </is>
      </c>
      <c r="H155" s="9" t="inlineStr">
        <is>
          <t>« Lien avec la distance entre le point M et le plan P. »</t>
        </is>
      </c>
      <c r="I155" s="9" t="n">
        <v>67</v>
      </c>
      <c r="J155" s="9" t="inlineStr"/>
      <c r="K155" s="11" t="n"/>
      <c r="L155" s="11" t="n"/>
    </row>
    <row r="156">
      <c r="A156" s="15" t="inlineStr">
        <is>
          <t>M155</t>
        </is>
      </c>
      <c r="B156" s="16" t="inlineStr">
        <is>
          <t>Rouge – hors programme</t>
        </is>
      </c>
      <c r="C156" s="15" t="inlineStr">
        <is>
          <t>BCPST1</t>
        </is>
      </c>
      <c r="D156" s="15" t="inlineStr">
        <is>
          <t>BCPST1 · Géométrie 1</t>
        </is>
      </c>
      <c r="E156" s="15" t="inlineStr">
        <is>
          <t>Propriété</t>
        </is>
      </c>
      <c r="F156" s="16" t="inlineStr">
        <is>
          <t>Distance d'un point à un plan – Calcul</t>
        </is>
      </c>
      <c r="G156" s="15" t="inlineStr">
        <is>
          <t>En repère orthonormal : $d(A,P)=\dfrac{|ax_A+by_A+cz_A+d|}{\sqrt{a^2+b^2+c^2}}$.</t>
        </is>
      </c>
      <c r="H156" s="15" t="inlineStr">
        <is>
          <t>« Aucune formule générale donnant la distance entre un point et un plan n'est exigible. »</t>
        </is>
      </c>
      <c r="I156" s="15" t="n">
        <v>67</v>
      </c>
      <c r="J156" s="15" t="inlineStr"/>
      <c r="K156" s="17" t="n"/>
      <c r="L156" s="17" t="n"/>
    </row>
    <row r="157">
      <c r="A157" s="9" t="inlineStr">
        <is>
          <t>M156</t>
        </is>
      </c>
      <c r="B157" s="10" t="inlineStr">
        <is>
          <t>Noir – conforme</t>
        </is>
      </c>
      <c r="C157" s="9" t="inlineStr">
        <is>
          <t>BCPST1</t>
        </is>
      </c>
      <c r="D157" s="9" t="inlineStr">
        <is>
          <t>BCPST1 · Géométrie 1</t>
        </is>
      </c>
      <c r="E157" s="9" t="inlineStr">
        <is>
          <t>Définition</t>
        </is>
      </c>
      <c r="F157" s="10" t="inlineStr">
        <is>
          <t>Droite dans l'espace – Définition</t>
        </is>
      </c>
      <c r="G157" s="9" t="inlineStr">
        <is>
          <t>Droite passant par $A$ dirigée par $\vec u\neq\vec0$ : $\{M,\ \overrightarrow{AM}\in\mathrm{Vect}(\vec u)\}$.</t>
        </is>
      </c>
      <c r="H157" s="9" t="inlineStr">
        <is>
          <t>« Vecteur directeur d'une droite. Représentation paramétrique d'une droite. »</t>
        </is>
      </c>
      <c r="I157" s="9" t="n">
        <v>68</v>
      </c>
      <c r="J157" s="9" t="inlineStr"/>
      <c r="K157" s="11" t="n"/>
      <c r="L157" s="11" t="n"/>
    </row>
    <row r="158">
      <c r="A158" s="9" t="inlineStr">
        <is>
          <t>M157</t>
        </is>
      </c>
      <c r="B158" s="10" t="inlineStr">
        <is>
          <t>Noir – conforme</t>
        </is>
      </c>
      <c r="C158" s="9" t="inlineStr">
        <is>
          <t>BCPST1</t>
        </is>
      </c>
      <c r="D158" s="9" t="inlineStr">
        <is>
          <t>BCPST1 · Géométrie 1</t>
        </is>
      </c>
      <c r="E158" s="9" t="inlineStr">
        <is>
          <t>Propriété</t>
        </is>
      </c>
      <c r="F158" s="10" t="inlineStr">
        <is>
          <t>Droite dans l'espace – Système d'équations cartésiennes</t>
        </is>
      </c>
      <c r="G158" s="9" t="inlineStr">
        <is>
          <t>Une droite de l'espace est l'intersection de deux plans non parallèles : $\begin{cases}ax+by+cz+d=0\\\alpha x+\beta y+\gamma z+\delta=0\end{cases}$.</t>
        </is>
      </c>
      <c r="H158" s="9" t="inlineStr">
        <is>
          <t>« Équations cartésiennes (système d'équations linéaires) d'une droite. »</t>
        </is>
      </c>
      <c r="I158" s="9" t="n">
        <v>68</v>
      </c>
      <c r="J158" s="9" t="inlineStr">
        <is>
          <t>L'ouvrage titre « Droite dans le plan » et omet la condition de non-parallélisme des deux plans ; corrigé</t>
        </is>
      </c>
      <c r="K158" s="11" t="n"/>
      <c r="L158" s="11" t="n"/>
    </row>
    <row r="159">
      <c r="A159" s="9" t="inlineStr">
        <is>
          <t>M158</t>
        </is>
      </c>
      <c r="B159" s="10" t="inlineStr">
        <is>
          <t>Noir – conforme</t>
        </is>
      </c>
      <c r="C159" s="9" t="inlineStr">
        <is>
          <t>BCPST1</t>
        </is>
      </c>
      <c r="D159" s="9" t="inlineStr">
        <is>
          <t>BCPST1 · Géométrie 1</t>
        </is>
      </c>
      <c r="E159" s="9" t="inlineStr">
        <is>
          <t>Propriété</t>
        </is>
      </c>
      <c r="F159" s="10" t="inlineStr">
        <is>
          <t>Droite dans l'espace – Équations paramétriques</t>
        </is>
      </c>
      <c r="G159" s="9" t="inlineStr">
        <is>
          <t>$x=x_A+t\alpha$, $y=y_A+t\beta$, $z=z_A+t\gamma$, $t\in\mathbb R$, $(\alpha,\beta,\gamma)\neq(0,0,0)$.</t>
        </is>
      </c>
      <c r="H159" s="9" t="inlineStr">
        <is>
          <t>« Représentation paramétrique d'une droite. »</t>
        </is>
      </c>
      <c r="I159" s="9" t="n">
        <v>68</v>
      </c>
      <c r="J159" s="9" t="inlineStr"/>
      <c r="K159" s="11" t="n"/>
      <c r="L159" s="11" t="n"/>
    </row>
    <row r="160">
      <c r="A160" s="15" t="inlineStr">
        <is>
          <t>M159</t>
        </is>
      </c>
      <c r="B160" s="16" t="inlineStr">
        <is>
          <t>Rouge – hors programme</t>
        </is>
      </c>
      <c r="C160" s="15" t="inlineStr">
        <is>
          <t>BCPST1</t>
        </is>
      </c>
      <c r="D160" s="15" t="inlineStr">
        <is>
          <t>BCPST1 · Géométrie 1</t>
        </is>
      </c>
      <c r="E160" s="15" t="inlineStr">
        <is>
          <t>Définition</t>
        </is>
      </c>
      <c r="F160" s="16" t="inlineStr">
        <is>
          <t>Sphère dans l'espace – Définition</t>
        </is>
      </c>
      <c r="G160" s="15" t="inlineStr">
        <is>
          <t>$\mathcal S(\Omega,R)=\{M,\ \Omega M=R\}$.</t>
        </is>
      </c>
      <c r="H160" s="15" t="inlineStr">
        <is>
          <t>« Les sphères ne sont pas un attendu du programme. »</t>
        </is>
      </c>
      <c r="I160" s="15" t="n">
        <v>69</v>
      </c>
      <c r="J160" s="15" t="inlineStr"/>
      <c r="K160" s="17" t="n"/>
      <c r="L160" s="17" t="n"/>
    </row>
    <row r="161">
      <c r="A161" s="15" t="inlineStr">
        <is>
          <t>M160</t>
        </is>
      </c>
      <c r="B161" s="16" t="inlineStr">
        <is>
          <t>Rouge – hors programme</t>
        </is>
      </c>
      <c r="C161" s="15" t="inlineStr">
        <is>
          <t>BCPST1</t>
        </is>
      </c>
      <c r="D161" s="15" t="inlineStr">
        <is>
          <t>BCPST1 · Géométrie 1</t>
        </is>
      </c>
      <c r="E161" s="15" t="inlineStr">
        <is>
          <t>Propriété</t>
        </is>
      </c>
      <c r="F161" s="16" t="inlineStr">
        <is>
          <t>Sphère dans l'espace – Équation cartésienne</t>
        </is>
      </c>
      <c r="G161" s="15" t="inlineStr">
        <is>
          <t>En repère orthonormal : $(x-a)^2+(y-b)^2+(z-c)^2=R^2$.</t>
        </is>
      </c>
      <c r="H161" s="15" t="inlineStr">
        <is>
          <t>« Les sphères ne sont pas un attendu du programme. »</t>
        </is>
      </c>
      <c r="I161" s="15" t="n">
        <v>69</v>
      </c>
      <c r="J161" s="15" t="inlineStr"/>
      <c r="K161" s="17" t="n"/>
      <c r="L161" s="17" t="n"/>
    </row>
    <row r="162">
      <c r="A162" s="9" t="inlineStr">
        <is>
          <t>M161</t>
        </is>
      </c>
      <c r="B162" s="10" t="inlineStr">
        <is>
          <t>Noir – conforme</t>
        </is>
      </c>
      <c r="C162" s="9" t="inlineStr">
        <is>
          <t>BCPST1</t>
        </is>
      </c>
      <c r="D162" s="9" t="inlineStr">
        <is>
          <t>BCPST1 · Géométrie 1</t>
        </is>
      </c>
      <c r="E162" s="9" t="inlineStr">
        <is>
          <t>Définition</t>
        </is>
      </c>
      <c r="F162" s="10" t="inlineStr">
        <is>
          <t>Angle géométrique de deux vecteurs de l'espace</t>
        </is>
      </c>
      <c r="G162" s="9" t="inlineStr">
        <is>
          <t>Unique $\theta\in[0,\pi]$ tel que $\cos\theta=\dfrac{\vec u\cdot\vec v}{\|\vec u\|\|\vec v\|}$.</t>
        </is>
      </c>
      <c r="H162" s="9" t="inlineStr">
        <is>
          <t>« Formulation du produit scalaire à l'aide du cosinus de l'angle formé entre deux vecteurs non nuls. »</t>
        </is>
      </c>
      <c r="I162" s="9" t="n">
        <v>69</v>
      </c>
      <c r="J162" s="9" t="inlineStr"/>
      <c r="K162" s="11" t="n"/>
      <c r="L162" s="11" t="n"/>
    </row>
    <row r="163">
      <c r="A163" s="12" t="inlineStr">
        <is>
          <t>M162</t>
        </is>
      </c>
      <c r="B163" s="13" t="inlineStr">
        <is>
          <t>Orange – incertain</t>
        </is>
      </c>
      <c r="C163" s="12" t="inlineStr">
        <is>
          <t>BCPST1</t>
        </is>
      </c>
      <c r="D163" s="12" t="inlineStr">
        <is>
          <t>BCPST1 · Géométrie 1</t>
        </is>
      </c>
      <c r="E163" s="12" t="inlineStr">
        <is>
          <t>Définition</t>
        </is>
      </c>
      <c r="F163" s="13" t="inlineStr">
        <is>
          <t>Angle de deux droites de l'espace</t>
        </is>
      </c>
      <c r="G163" s="12" t="inlineStr">
        <is>
          <t>Unique $\alpha\in[0,\frac\pi2]$ tel que $\cos\alpha=\dfrac{|\vec u\cdot\vec v|}{\|\vec u\|\|\vec v\|}$.</t>
        </is>
      </c>
      <c r="H163" s="12" t="inlineStr">
        <is>
          <t>Programme muet : notion non mentionnée.</t>
        </is>
      </c>
      <c r="I163" s="12" t="n">
        <v>69</v>
      </c>
      <c r="J163" s="12" t="inlineStr"/>
      <c r="K163" s="14" t="n"/>
      <c r="L163" s="14" t="n"/>
    </row>
    <row r="164">
      <c r="A164" s="12" t="inlineStr">
        <is>
          <t>M163</t>
        </is>
      </c>
      <c r="B164" s="13" t="inlineStr">
        <is>
          <t>Orange – incertain</t>
        </is>
      </c>
      <c r="C164" s="12" t="inlineStr">
        <is>
          <t>BCPST1</t>
        </is>
      </c>
      <c r="D164" s="12" t="inlineStr">
        <is>
          <t>BCPST1 · Géométrie 1</t>
        </is>
      </c>
      <c r="E164" s="12" t="inlineStr">
        <is>
          <t>Définition</t>
        </is>
      </c>
      <c r="F164" s="13" t="inlineStr">
        <is>
          <t>Angle de deux plans – Définition</t>
        </is>
      </c>
      <c r="G164" s="12" t="inlineStr">
        <is>
          <t>Angle entre deux droites dirigées par les vecteurs normaux $\vec N_1$ et $\vec N_2$ des plans.</t>
        </is>
      </c>
      <c r="H164" s="12" t="inlineStr">
        <is>
          <t>Programme muet : notion non mentionnée.</t>
        </is>
      </c>
      <c r="I164" s="12" t="n">
        <v>70</v>
      </c>
      <c r="J164" s="12" t="inlineStr">
        <is>
          <t>Titre de l'ouvrage : « Angle de deux droites du plan » (coquille)</t>
        </is>
      </c>
      <c r="K164" s="14" t="n"/>
      <c r="L164" s="14" t="n"/>
    </row>
    <row r="165">
      <c r="A165" s="9" t="inlineStr">
        <is>
          <t>M164</t>
        </is>
      </c>
      <c r="B165" s="10" t="inlineStr">
        <is>
          <t>Noir – conforme</t>
        </is>
      </c>
      <c r="C165" s="9" t="inlineStr">
        <is>
          <t>BCPST1</t>
        </is>
      </c>
      <c r="D165" s="9" t="inlineStr">
        <is>
          <t>BCPST1 · Algèbre – Polynômes réels</t>
        </is>
      </c>
      <c r="E165" s="9" t="inlineStr">
        <is>
          <t>Définition</t>
        </is>
      </c>
      <c r="F165" s="10" t="inlineStr">
        <is>
          <t>Degré d'un polynôme – Définition</t>
        </is>
      </c>
      <c r="G165" s="9" t="inlineStr">
        <is>
          <t>$\deg P=\max\{n\in\mathbb N,\ a_n\neq0\}$ (pour $P\neq0$).</t>
        </is>
      </c>
      <c r="H165" s="9" t="inlineStr">
        <is>
          <t>« Coefficient dominant. Degré d'un polynôme. » (convention : degré du polynôme nul = −∞)</t>
        </is>
      </c>
      <c r="I165" s="9" t="n">
        <v>3</v>
      </c>
      <c r="J165" s="9" t="inlineStr"/>
      <c r="K165" s="11" t="n"/>
      <c r="L165" s="11" t="n"/>
    </row>
    <row r="166">
      <c r="A166" s="9" t="inlineStr">
        <is>
          <t>M165</t>
        </is>
      </c>
      <c r="B166" s="10" t="inlineStr">
        <is>
          <t>Noir – conforme</t>
        </is>
      </c>
      <c r="C166" s="9" t="inlineStr">
        <is>
          <t>BCPST1</t>
        </is>
      </c>
      <c r="D166" s="9" t="inlineStr">
        <is>
          <t>BCPST1 · Algèbre – Polynômes réels</t>
        </is>
      </c>
      <c r="E166" s="9" t="inlineStr">
        <is>
          <t>Propriété</t>
        </is>
      </c>
      <c r="F166" s="10" t="inlineStr">
        <is>
          <t>Degré d'un polynôme – Propriétés</t>
        </is>
      </c>
      <c r="G166" s="9" t="inlineStr">
        <is>
          <t>$\deg(P+Q)\le\max(\deg P,\deg Q)$, avec égalité si $\deg P\neq\deg Q$ ; $\deg(PQ)=\deg P+\deg Q$.</t>
        </is>
      </c>
      <c r="H166" s="9" t="inlineStr">
        <is>
          <t>« Degré d'une somme, d'un produit de polynômes. »</t>
        </is>
      </c>
      <c r="I166" s="9" t="n">
        <v>3</v>
      </c>
      <c r="J166" s="9" t="inlineStr"/>
      <c r="K166" s="11" t="n"/>
      <c r="L166" s="11" t="n"/>
    </row>
    <row r="167">
      <c r="A167" s="9" t="inlineStr">
        <is>
          <t>M166</t>
        </is>
      </c>
      <c r="B167" s="10" t="inlineStr">
        <is>
          <t>Noir – conforme</t>
        </is>
      </c>
      <c r="C167" s="9" t="inlineStr">
        <is>
          <t>BCPST1</t>
        </is>
      </c>
      <c r="D167" s="9" t="inlineStr">
        <is>
          <t>BCPST1 · Algèbre – Polynômes réels</t>
        </is>
      </c>
      <c r="E167" s="9" t="inlineStr">
        <is>
          <t>Définition</t>
        </is>
      </c>
      <c r="F167" s="10" t="inlineStr">
        <is>
          <t>Dérivation</t>
        </is>
      </c>
      <c r="G167" s="9" t="inlineStr">
        <is>
          <t>Si $P=\sum_n a_nX^n$, alors $P'=\sum_{n\ge1}n\,a_nX^{n-1}$.</t>
        </is>
      </c>
      <c r="H167" s="9" t="inlineStr">
        <is>
          <t>« Polynôme dérivé. Degré du polynôme dérivé. »</t>
        </is>
      </c>
      <c r="I167" s="9" t="n">
        <v>3</v>
      </c>
      <c r="J167" s="9" t="inlineStr"/>
      <c r="K167" s="11" t="n"/>
      <c r="L167" s="11" t="n"/>
    </row>
    <row r="168">
      <c r="A168" s="15" t="inlineStr">
        <is>
          <t>M167</t>
        </is>
      </c>
      <c r="B168" s="16" t="inlineStr">
        <is>
          <t>Rouge – hors programme</t>
        </is>
      </c>
      <c r="C168" s="15" t="inlineStr">
        <is>
          <t>BCPST1</t>
        </is>
      </c>
      <c r="D168" s="15" t="inlineStr">
        <is>
          <t>BCPST1 · Algèbre – Polynômes réels</t>
        </is>
      </c>
      <c r="E168" s="15" t="inlineStr">
        <is>
          <t>Méthode</t>
        </is>
      </c>
      <c r="F168" s="16" t="inlineStr">
        <is>
          <t>Intégration des fonctions du type (ax+b)/(x²+px+q)</t>
        </is>
      </c>
      <c r="G168" s="15" t="inlineStr">
        <is>
          <t>$\Delta=p^2-4q$. Si $\Delta&gt;0$ : $\frac{\alpha}{x-c}+\frac{\beta}{x-d}$ ; si $\Delta=0$ : $\frac\alpha{x-c}+\frac\beta{(x-c)^2}$ ; si $\Delta&lt;0$ : $\frac a2\frac{2x+p}{x^2+px+q}+\left(b-\frac{ap}2\right)\frac1{x^2+px+q}$ (un terme en $\ln$, un terme en $\arctan$).</t>
        </is>
      </c>
      <c r="H168" s="15" t="inlineStr">
        <is>
          <t>« Les notions … de fraction rationnelle sont hors programme. » (la méthode repose sur la décomposition en éléments simples)</t>
        </is>
      </c>
      <c r="I168" s="15" t="n">
        <v>40</v>
      </c>
      <c r="J168" s="15" t="inlineStr"/>
      <c r="K168" s="17" t="n"/>
      <c r="L168" s="17" t="n"/>
    </row>
    <row r="169">
      <c r="A169" s="9" t="inlineStr">
        <is>
          <t>M168</t>
        </is>
      </c>
      <c r="B169" s="10" t="inlineStr">
        <is>
          <t>Noir – conforme</t>
        </is>
      </c>
      <c r="C169" s="9" t="inlineStr">
        <is>
          <t>BCPST1</t>
        </is>
      </c>
      <c r="D169" s="9" t="inlineStr">
        <is>
          <t>BCPST1 · Analyse 5 – Suites réelles</t>
        </is>
      </c>
      <c r="E169" s="9" t="inlineStr">
        <is>
          <t>Définition</t>
        </is>
      </c>
      <c r="F169" s="10" t="inlineStr">
        <is>
          <t>Convergence – Définition</t>
        </is>
      </c>
      <c r="G169" s="9" t="inlineStr">
        <is>
          <t>$(u_n)$ converge vers $l$ si $\forall\varepsilon&gt;0,\ \exists N,\ \forall n\ge N,\ |u_n-l|\le\varepsilon$.</t>
        </is>
      </c>
      <c r="H169" s="9" t="inlineStr">
        <is>
          <t>« La définition d'une limite par (ε, n0) est présentée, mais aucune technicité ne pourra être exigée. »</t>
        </is>
      </c>
      <c r="I169" s="9" t="n">
        <v>21</v>
      </c>
      <c r="J169" s="9" t="inlineStr">
        <is>
          <t>Cadre à cheval sur les pages 21 et 22</t>
        </is>
      </c>
      <c r="K169" s="11" t="n"/>
      <c r="L169" s="11" t="n"/>
    </row>
    <row r="170">
      <c r="A170" s="9" t="inlineStr">
        <is>
          <t>M169</t>
        </is>
      </c>
      <c r="B170" s="10" t="inlineStr">
        <is>
          <t>Noir – conforme</t>
        </is>
      </c>
      <c r="C170" s="9" t="inlineStr">
        <is>
          <t>BCPST1</t>
        </is>
      </c>
      <c r="D170" s="9" t="inlineStr">
        <is>
          <t>BCPST1 · Analyse 5 – Suites réelles</t>
        </is>
      </c>
      <c r="E170" s="9" t="inlineStr">
        <is>
          <t>Définition</t>
        </is>
      </c>
      <c r="F170" s="10" t="inlineStr">
        <is>
          <t>Divergence – Définition</t>
        </is>
      </c>
      <c r="G170" s="9" t="inlineStr">
        <is>
          <t>$u_n\to+\infty$ si $\forall A,\ \exists N,\ \forall n\ge N,\ u_n\ge A$ (de même pour $-\infty$). L'ouvrage distingue divergence de 1re espèce (limite infinie) et de 2e espèce (pas de limite).</t>
        </is>
      </c>
      <c r="H170" s="9" t="inlineStr">
        <is>
          <t>« Convergence, divergence. Limite infinie. » (le vocabulaire « 1re/2e espèce » n'est pas utilisé)</t>
        </is>
      </c>
      <c r="I170" s="9" t="n">
        <v>22</v>
      </c>
      <c r="J170" s="9" t="inlineStr"/>
      <c r="K170" s="11" t="n"/>
      <c r="L170" s="11" t="n"/>
    </row>
    <row r="171">
      <c r="A171" s="9" t="inlineStr">
        <is>
          <t>M170</t>
        </is>
      </c>
      <c r="B171" s="10" t="inlineStr">
        <is>
          <t>Noir – conforme</t>
        </is>
      </c>
      <c r="C171" s="9" t="inlineStr">
        <is>
          <t>BCPST1</t>
        </is>
      </c>
      <c r="D171" s="9" t="inlineStr">
        <is>
          <t>BCPST1 · Analyse 5 – Suites réelles</t>
        </is>
      </c>
      <c r="E171" s="9" t="inlineStr">
        <is>
          <t>Définition</t>
        </is>
      </c>
      <c r="F171" s="10" t="inlineStr">
        <is>
          <t>Suite majorée, minorée ou bornée</t>
        </is>
      </c>
      <c r="G171" s="9" t="inlineStr">
        <is>
          <t>$(u_n)$ majorée : $\exists M,\ \forall n,\ u_n\le M$ (minorée : $u_n\ge M$). Bornée : majorée et minorée, i.e. $\exists M\ge0,\ \forall n,\ |u_n|\le M$.</t>
        </is>
      </c>
      <c r="H171" s="9" t="inlineStr">
        <is>
          <t>« Suites majorées, minorées, bornées. »</t>
        </is>
      </c>
      <c r="I171" s="9" t="n">
        <v>22</v>
      </c>
      <c r="J171" s="9" t="inlineStr"/>
      <c r="K171" s="11" t="n"/>
      <c r="L171" s="11" t="n"/>
    </row>
    <row r="172">
      <c r="A172" s="9" t="inlineStr">
        <is>
          <t>M171</t>
        </is>
      </c>
      <c r="B172" s="10" t="inlineStr">
        <is>
          <t>Noir – conforme</t>
        </is>
      </c>
      <c r="C172" s="9" t="inlineStr">
        <is>
          <t>BCPST1</t>
        </is>
      </c>
      <c r="D172" s="9" t="inlineStr">
        <is>
          <t>BCPST1 · Analyse 5 – Suites réelles</t>
        </is>
      </c>
      <c r="E172" s="9" t="inlineStr">
        <is>
          <t>Théorème</t>
        </is>
      </c>
      <c r="F172" s="10" t="inlineStr">
        <is>
          <t>Suites extraites des rangs pairs et impairs</t>
        </is>
      </c>
      <c r="G172" s="9" t="inlineStr">
        <is>
          <t>Si $(u_{2n})$ et $(u_{2n+1})$ ont la même limite $l$ (finie ou infinie), alors $(u_n)$ tend vers $l$.</t>
        </is>
      </c>
      <c r="H172" s="9" t="inlineStr">
        <is>
          <t>« Comparaison de la convergence et de la limite d'une suite (uₙ) avec celles des deux suites (u₂ₙ) et (u₂ₙ₊₁). La notion générale de suite extraite est hors programme. »</t>
        </is>
      </c>
      <c r="I172" s="9" t="n">
        <v>22</v>
      </c>
      <c r="J172" s="9" t="inlineStr">
        <is>
          <t>Coquille dans l'ouvrage (indices mélangés) ; énoncé rétabli</t>
        </is>
      </c>
      <c r="K172" s="11" t="n"/>
      <c r="L172" s="11" t="n"/>
    </row>
    <row r="173">
      <c r="A173" s="9" t="inlineStr">
        <is>
          <t>M172</t>
        </is>
      </c>
      <c r="B173" s="10" t="inlineStr">
        <is>
          <t>Noir – conforme</t>
        </is>
      </c>
      <c r="C173" s="9" t="inlineStr">
        <is>
          <t>BCPST1</t>
        </is>
      </c>
      <c r="D173" s="9" t="inlineStr">
        <is>
          <t>BCPST1 · Analyse 5 – Suites réelles</t>
        </is>
      </c>
      <c r="E173" s="9" t="inlineStr">
        <is>
          <t>Propriété</t>
        </is>
      </c>
      <c r="F173" s="10" t="inlineStr">
        <is>
          <t>Opérations sur les limites</t>
        </is>
      </c>
      <c r="G173" s="9" t="inlineStr">
        <is>
          <t>Limite d'une somme, d'un produit, d'un produit par un réel, d'un quotient, sauf formes indéterminées $\infty-\infty$, $0\times\infty$, $\frac00$, $\frac\infty\infty$.</t>
        </is>
      </c>
      <c r="H173" s="9" t="inlineStr">
        <is>
          <t>« Opérations sur les limites. »</t>
        </is>
      </c>
      <c r="I173" s="9" t="n">
        <v>22</v>
      </c>
      <c r="J173" s="9" t="inlineStr"/>
      <c r="K173" s="11" t="n"/>
      <c r="L173" s="11" t="n"/>
    </row>
    <row r="174">
      <c r="A174" s="9" t="inlineStr">
        <is>
          <t>M173</t>
        </is>
      </c>
      <c r="B174" s="10" t="inlineStr">
        <is>
          <t>Noir – conforme</t>
        </is>
      </c>
      <c r="C174" s="9" t="inlineStr">
        <is>
          <t>BCPST1</t>
        </is>
      </c>
      <c r="D174" s="9" t="inlineStr">
        <is>
          <t>BCPST1 · Analyse 5 – Suites réelles</t>
        </is>
      </c>
      <c r="E174" s="9" t="inlineStr">
        <is>
          <t>Propriété</t>
        </is>
      </c>
      <c r="F174" s="10" t="inlineStr">
        <is>
          <t>Signe d'une suite de limite non nulle</t>
        </is>
      </c>
      <c r="G174" s="9" t="inlineStr">
        <is>
          <t>Si $u_n\to l&gt;0$ (ou $+\infty$), alors $u_n&gt;0$ à partir d'un certain rang ; si $l&lt;0$, $u_n&lt;0$ à partir d'un certain rang.</t>
        </is>
      </c>
      <c r="H174" s="9" t="inlineStr">
        <is>
          <t>« Signe d'une suite de limite non nulle. »</t>
        </is>
      </c>
      <c r="I174" s="9" t="n">
        <v>23</v>
      </c>
      <c r="J174" s="9" t="inlineStr"/>
      <c r="K174" s="11" t="n"/>
      <c r="L174" s="11" t="n"/>
    </row>
    <row r="175">
      <c r="A175" s="9" t="inlineStr">
        <is>
          <t>M174</t>
        </is>
      </c>
      <c r="B175" s="10" t="inlineStr">
        <is>
          <t>Noir – conforme</t>
        </is>
      </c>
      <c r="C175" s="9" t="inlineStr">
        <is>
          <t>BCPST1</t>
        </is>
      </c>
      <c r="D175" s="9" t="inlineStr">
        <is>
          <t>BCPST1 · Analyse 5 – Suites réelles</t>
        </is>
      </c>
      <c r="E175" s="9" t="inlineStr">
        <is>
          <t>Théorème</t>
        </is>
      </c>
      <c r="F175" s="10" t="inlineStr">
        <is>
          <t>Passage aux limites dans une inégalité</t>
        </is>
      </c>
      <c r="G175" s="9" t="inlineStr">
        <is>
          <t>Si $u_n\le v_n$ à partir d'un certain rang et si les deux suites ont une limite, alors $\lim u_n\le\lim v_n$.</t>
        </is>
      </c>
      <c r="H175" s="9" t="inlineStr">
        <is>
          <t>« Passage à la limite dans une inégalité large. »</t>
        </is>
      </c>
      <c r="I175" s="9" t="n">
        <v>23</v>
      </c>
      <c r="J175" s="9" t="inlineStr"/>
      <c r="K175" s="11" t="n"/>
      <c r="L175" s="11" t="n"/>
    </row>
    <row r="176">
      <c r="A176" s="9" t="inlineStr">
        <is>
          <t>M175</t>
        </is>
      </c>
      <c r="B176" s="10" t="inlineStr">
        <is>
          <t>Noir – conforme</t>
        </is>
      </c>
      <c r="C176" s="9" t="inlineStr">
        <is>
          <t>BCPST1</t>
        </is>
      </c>
      <c r="D176" s="9" t="inlineStr">
        <is>
          <t>BCPST1 · Analyse 5 – Suites réelles</t>
        </is>
      </c>
      <c r="E176" s="9" t="inlineStr">
        <is>
          <t>Théorème</t>
        </is>
      </c>
      <c r="F176" s="10" t="inlineStr">
        <is>
          <t>Théorème des gendarmes (limites finies)</t>
        </is>
      </c>
      <c r="G176" s="9" t="inlineStr">
        <is>
          <t>Si $u_n\le v_n\le w_n$ à partir d'un certain rang et $u_n\to l$, $w_n\to l$ ($l$ fini), alors $v_n\to l$.</t>
        </is>
      </c>
      <c r="H176" s="9" t="inlineStr">
        <is>
          <t>« Théorème d'encadrement, dit « des gendarmes » … »</t>
        </is>
      </c>
      <c r="I176" s="9" t="n">
        <v>23</v>
      </c>
      <c r="J176" s="9" t="inlineStr"/>
      <c r="K176" s="11" t="n"/>
      <c r="L176" s="11" t="n"/>
    </row>
    <row r="177">
      <c r="A177" s="9" t="inlineStr">
        <is>
          <t>M176</t>
        </is>
      </c>
      <c r="B177" s="10" t="inlineStr">
        <is>
          <t>Noir – conforme</t>
        </is>
      </c>
      <c r="C177" s="9" t="inlineStr">
        <is>
          <t>BCPST1</t>
        </is>
      </c>
      <c r="D177" s="9" t="inlineStr">
        <is>
          <t>BCPST1 · Analyse 5 – Suites réelles</t>
        </is>
      </c>
      <c r="E177" s="9" t="inlineStr">
        <is>
          <t>Théorème</t>
        </is>
      </c>
      <c r="F177" s="10" t="inlineStr">
        <is>
          <t>Théorème de comparaison (limites infinies)</t>
        </is>
      </c>
      <c r="G177" s="9" t="inlineStr">
        <is>
          <t>Si $u_n\le v_n$ à partir d'un certain rang : $u_n\to+\infty\Rightarrow v_n\to+\infty$ ; $v_n\to-\infty\Rightarrow u_n\to-\infty$.</t>
        </is>
      </c>
      <c r="H177" s="9" t="inlineStr">
        <is>
          <t>« … et extension aux limites infinies. »</t>
        </is>
      </c>
      <c r="I177" s="9" t="n">
        <v>23</v>
      </c>
      <c r="J177" s="9" t="inlineStr">
        <is>
          <t>Titre de l'ouvrage : « Théorème des gendarmes (limites infinies) »</t>
        </is>
      </c>
      <c r="K177" s="11" t="n"/>
      <c r="L177" s="11" t="n"/>
    </row>
    <row r="178">
      <c r="A178" s="9" t="inlineStr">
        <is>
          <t>M177</t>
        </is>
      </c>
      <c r="B178" s="10" t="inlineStr">
        <is>
          <t>Noir – conforme</t>
        </is>
      </c>
      <c r="C178" s="9" t="inlineStr">
        <is>
          <t>BCPST1</t>
        </is>
      </c>
      <c r="D178" s="9" t="inlineStr">
        <is>
          <t>BCPST1 · Analyse 5 – Suites réelles</t>
        </is>
      </c>
      <c r="E178" s="9" t="inlineStr">
        <is>
          <t>Théorème</t>
        </is>
      </c>
      <c r="F178" s="10" t="inlineStr">
        <is>
          <t>Théorème de la limite monotone</t>
        </is>
      </c>
      <c r="G178" s="9" t="inlineStr">
        <is>
          <t>Une suite croissante majorée converge ; croissante non majorée, elle tend vers $+\infty$ (symétrique pour décroissante). Une suite monotone admet toujours une limite (finie ou infinie).</t>
        </is>
      </c>
      <c r="H178" s="9" t="inlineStr">
        <is>
          <t>« Théorème de la limite monotone. Toute suite réelle monotone admet une limite finie ou infinie. »</t>
        </is>
      </c>
      <c r="I178" s="9" t="n">
        <v>23</v>
      </c>
      <c r="J178" s="9" t="inlineStr"/>
      <c r="K178" s="11" t="n"/>
      <c r="L178" s="11" t="n"/>
    </row>
    <row r="179">
      <c r="A179" s="9" t="inlineStr">
        <is>
          <t>M178</t>
        </is>
      </c>
      <c r="B179" s="10" t="inlineStr">
        <is>
          <t>Noir – conforme</t>
        </is>
      </c>
      <c r="C179" s="9" t="inlineStr">
        <is>
          <t>BCPST1</t>
        </is>
      </c>
      <c r="D179" s="9" t="inlineStr">
        <is>
          <t>BCPST1 · Analyse 5 – Suites réelles</t>
        </is>
      </c>
      <c r="E179" s="9" t="inlineStr">
        <is>
          <t>Définition</t>
        </is>
      </c>
      <c r="F179" s="10" t="inlineStr">
        <is>
          <t>Suites équivalentes – Définition</t>
        </is>
      </c>
      <c r="G179" s="9" t="inlineStr">
        <is>
          <t>$u_n\sim v_n$ s'il existe $(\varepsilon_n)$ de limite nulle telle que $u_n=(1+\varepsilon_n)v_n$ à partir d'un certain rang.</t>
        </is>
      </c>
      <c r="H179" s="9" t="inlineStr">
        <is>
          <t>« Suites équivalentes, notation uₙ ∼ vₙ … se limiter aux suites dont le terme général ne s'annule pas à partir d'un certain rang. »</t>
        </is>
      </c>
      <c r="I179" s="9" t="n">
        <v>23</v>
      </c>
      <c r="J179" s="9" t="inlineStr"/>
      <c r="K179" s="11" t="n"/>
      <c r="L179" s="11" t="n"/>
    </row>
    <row r="180">
      <c r="A180" s="9" t="inlineStr">
        <is>
          <t>M179</t>
        </is>
      </c>
      <c r="B180" s="10" t="inlineStr">
        <is>
          <t>Noir – conforme</t>
        </is>
      </c>
      <c r="C180" s="9" t="inlineStr">
        <is>
          <t>BCPST1</t>
        </is>
      </c>
      <c r="D180" s="9" t="inlineStr">
        <is>
          <t>BCPST1 · Analyse 5 – Suites réelles</t>
        </is>
      </c>
      <c r="E180" s="9" t="inlineStr">
        <is>
          <t>Propriété</t>
        </is>
      </c>
      <c r="F180" s="10" t="inlineStr">
        <is>
          <t>Suites équivalentes – Critère</t>
        </is>
      </c>
      <c r="G180" s="9" t="inlineStr">
        <is>
          <t>Si $v_n$ ne s'annule pas à partir d'un certain rang : $u_n\sim v_n\iff\dfrac{u_n}{v_n}\to1$.</t>
        </is>
      </c>
      <c r="H180" s="9" t="inlineStr">
        <is>
          <t>« Suites équivalentes » (limité aux suites ne s'annulant pas : critère du quotient).</t>
        </is>
      </c>
      <c r="I180" s="9" t="n">
        <v>23</v>
      </c>
      <c r="J180" s="9" t="inlineStr"/>
      <c r="K180" s="11" t="n"/>
      <c r="L180" s="11" t="n"/>
    </row>
    <row r="181">
      <c r="A181" s="12" t="inlineStr">
        <is>
          <t>M180</t>
        </is>
      </c>
      <c r="B181" s="13" t="inlineStr">
        <is>
          <t>Orange – incertain</t>
        </is>
      </c>
      <c r="C181" s="12" t="inlineStr">
        <is>
          <t>BCPST1</t>
        </is>
      </c>
      <c r="D181" s="12" t="inlineStr">
        <is>
          <t>BCPST1 · Analyse 5 – Suites réelles</t>
        </is>
      </c>
      <c r="E181" s="12" t="inlineStr">
        <is>
          <t>Propriété</t>
        </is>
      </c>
      <c r="F181" s="13" t="inlineStr">
        <is>
          <t>Suites équivalentes – Propriétés</t>
        </is>
      </c>
      <c r="G181" s="12" t="inlineStr">
        <is>
          <t>La relation $\sim$ est réflexive, symétrique et transitive.</t>
        </is>
      </c>
      <c r="H181" s="12" t="inlineStr">
        <is>
          <t>Programme muet : notion non mentionnée. « Le développement sur les équivalents doit être modeste. »</t>
        </is>
      </c>
      <c r="I181" s="12" t="n">
        <v>24</v>
      </c>
      <c r="J181" s="12" t="inlineStr"/>
      <c r="K181" s="14" t="n"/>
      <c r="L181" s="14" t="n"/>
    </row>
    <row r="182">
      <c r="A182" s="9" t="inlineStr">
        <is>
          <t>M181</t>
        </is>
      </c>
      <c r="B182" s="10" t="inlineStr">
        <is>
          <t>Noir – conforme</t>
        </is>
      </c>
      <c r="C182" s="9" t="inlineStr">
        <is>
          <t>BCPST1</t>
        </is>
      </c>
      <c r="D182" s="9" t="inlineStr">
        <is>
          <t>BCPST1 · Analyse 5 – Suites réelles</t>
        </is>
      </c>
      <c r="E182" s="9" t="inlineStr">
        <is>
          <t>Propriété</t>
        </is>
      </c>
      <c r="F182" s="10" t="inlineStr">
        <is>
          <t>Suites équivalentes – Règles de calcul</t>
        </is>
      </c>
      <c r="G182" s="9" t="inlineStr">
        <is>
          <t>On peut multiplier, diviser et élever à une puissance fixe des équivalents. On ne peut ni les additionner, ni les composer par une fonction.</t>
        </is>
      </c>
      <c r="H182" s="9" t="inlineStr">
        <is>
          <t>« L'équivalence est compatible avec la multiplication, la division et l'élévation à une puissance constante. »</t>
        </is>
      </c>
      <c r="I182" s="9" t="n">
        <v>24</v>
      </c>
      <c r="J182" s="9" t="inlineStr"/>
      <c r="K182" s="11" t="n"/>
      <c r="L182" s="11" t="n"/>
    </row>
    <row r="183">
      <c r="A183" s="9" t="inlineStr">
        <is>
          <t>M182</t>
        </is>
      </c>
      <c r="B183" s="10" t="inlineStr">
        <is>
          <t>Noir – conforme</t>
        </is>
      </c>
      <c r="C183" s="9" t="inlineStr">
        <is>
          <t>BCPST1</t>
        </is>
      </c>
      <c r="D183" s="9" t="inlineStr">
        <is>
          <t>BCPST1 · Analyse 5 – Suites réelles</t>
        </is>
      </c>
      <c r="E183" s="9" t="inlineStr">
        <is>
          <t>Propriété</t>
        </is>
      </c>
      <c r="F183" s="10" t="inlineStr">
        <is>
          <t>Suites équivalentes et limites</t>
        </is>
      </c>
      <c r="G183" s="9" t="inlineStr">
        <is>
          <t>Si $u_n\sim v_n$ et $v_n\to l$, alors $u_n\to l$. Si $u_n\to l$ avec $l$ fini non nul, alors $u_n\sim l$.</t>
        </is>
      </c>
      <c r="H183" s="9" t="inlineStr">
        <is>
          <t>« Utilisation des équivalents pour la recherche de limites. »</t>
        </is>
      </c>
      <c r="I183" s="9" t="n">
        <v>24</v>
      </c>
      <c r="J183" s="9" t="inlineStr"/>
      <c r="K183" s="11" t="n"/>
      <c r="L183" s="11" t="n"/>
    </row>
    <row r="184">
      <c r="A184" s="9" t="inlineStr">
        <is>
          <t>M183</t>
        </is>
      </c>
      <c r="B184" s="10" t="inlineStr">
        <is>
          <t>Noir – conforme</t>
        </is>
      </c>
      <c r="C184" s="9" t="inlineStr">
        <is>
          <t>BCPST1</t>
        </is>
      </c>
      <c r="D184" s="9" t="inlineStr">
        <is>
          <t>BCPST1 · Analyse 5 – Suites réelles</t>
        </is>
      </c>
      <c r="E184" s="9" t="inlineStr">
        <is>
          <t>Définition</t>
        </is>
      </c>
      <c r="F184" s="10" t="inlineStr">
        <is>
          <t>Suites réelles monotones</t>
        </is>
      </c>
      <c r="G184" s="9" t="inlineStr">
        <is>
          <t>$(u_n)$ est croissante si $\forall n,\ u_n\le u_{n+1}$ ; décroissante si $\forall n,\ u_n\ge u_{n+1}$.</t>
        </is>
      </c>
      <c r="H184" s="9" t="inlineStr">
        <is>
          <t>« Suites monotones. »</t>
        </is>
      </c>
      <c r="I184" s="9" t="n">
        <v>25</v>
      </c>
      <c r="J184" s="9" t="inlineStr"/>
      <c r="K184" s="11" t="n"/>
      <c r="L184" s="11" t="n"/>
    </row>
    <row r="185">
      <c r="A185" s="9" t="inlineStr">
        <is>
          <t>M184</t>
        </is>
      </c>
      <c r="B185" s="10" t="inlineStr">
        <is>
          <t>Noir – conforme</t>
        </is>
      </c>
      <c r="C185" s="9" t="inlineStr">
        <is>
          <t>BCPST1</t>
        </is>
      </c>
      <c r="D185" s="9" t="inlineStr">
        <is>
          <t>BCPST1 · Analyse 5 – Suites réelles</t>
        </is>
      </c>
      <c r="E185" s="9" t="inlineStr">
        <is>
          <t>Théorème</t>
        </is>
      </c>
      <c r="F185" s="10" t="inlineStr">
        <is>
          <t>Suites adjacentes</t>
        </is>
      </c>
      <c r="G185" s="9" t="inlineStr">
        <is>
          <t>Si $(u_n)$ est croissante, $(v_n)$ décroissante et $v_n-u_n\to0$, les suites sont adjacentes ; elles convergent vers la même limite finie.</t>
        </is>
      </c>
      <c r="H185" s="9" t="inlineStr">
        <is>
          <t>« Suites adjacentes et théorème des suites adjacentes. »</t>
        </is>
      </c>
      <c r="I185" s="9" t="n">
        <v>25</v>
      </c>
      <c r="J185" s="9" t="inlineStr"/>
      <c r="K185" s="11" t="n"/>
      <c r="L185" s="11" t="n"/>
    </row>
    <row r="186">
      <c r="A186" s="9" t="inlineStr">
        <is>
          <t>M185</t>
        </is>
      </c>
      <c r="B186" s="10" t="inlineStr">
        <is>
          <t>Noir – conforme</t>
        </is>
      </c>
      <c r="C186" s="9" t="inlineStr">
        <is>
          <t>BCPST1</t>
        </is>
      </c>
      <c r="D186" s="9" t="inlineStr">
        <is>
          <t>BCPST1 · Analyse 6 – Limites, continuité</t>
        </is>
      </c>
      <c r="E186" s="9" t="inlineStr">
        <is>
          <t>Définition</t>
        </is>
      </c>
      <c r="F186" s="10" t="inlineStr">
        <is>
          <t>Limites</t>
        </is>
      </c>
      <c r="G186" s="9" t="inlineStr">
        <is>
          <t>$f\to l$ en $a$ : $\forall\varepsilon&gt;0,\ \exists\eta&gt;0,\ \forall x\in I,\ |x-a|\le\eta\Rightarrow|f(x)-l|\le\varepsilon$. Variantes en $\pm\infty$ et pour les limites infinies (avec $A$, $B$ au lieu de $\varepsilon$, $\eta$).</t>
        </is>
      </c>
      <c r="H186" s="9" t="inlineStr">
        <is>
          <t>« La définition d'une limite par (ε, α) est présentée, mais les détails techniques ne sont pas un attendu. »</t>
        </is>
      </c>
      <c r="I186" s="9" t="n">
        <v>26</v>
      </c>
      <c r="J186" s="9" t="inlineStr"/>
      <c r="K186" s="11" t="n"/>
      <c r="L186" s="11" t="n"/>
    </row>
    <row r="187">
      <c r="A187" s="9" t="inlineStr">
        <is>
          <t>M186</t>
        </is>
      </c>
      <c r="B187" s="10" t="inlineStr">
        <is>
          <t>Noir – conforme</t>
        </is>
      </c>
      <c r="C187" s="9" t="inlineStr">
        <is>
          <t>BCPST1</t>
        </is>
      </c>
      <c r="D187" s="9" t="inlineStr">
        <is>
          <t>BCPST1 · Analyse 6 – Limites, continuité</t>
        </is>
      </c>
      <c r="E187" s="9" t="inlineStr">
        <is>
          <t>Définition</t>
        </is>
      </c>
      <c r="F187" s="10" t="inlineStr">
        <is>
          <t>Limite à droite ou à gauche en un point</t>
        </is>
      </c>
      <c r="G187" s="9" t="inlineStr">
        <is>
          <t>Limite $l$ à droite en $a$ : $\forall\varepsilon&gt;0,\ \exists\eta&gt;0,\ 0&lt;x-a&lt;\eta\Rightarrow|f(x)-l|\le\varepsilon$ ; à gauche : $-\eta&lt;x-a&lt;0$. Variantes pour les limites infinies.</t>
        </is>
      </c>
      <c r="H187" s="9" t="inlineStr">
        <is>
          <t>« Limite à droite, limite à gauche. »</t>
        </is>
      </c>
      <c r="I187" s="9" t="n">
        <v>26</v>
      </c>
      <c r="J187" s="9" t="inlineStr"/>
      <c r="K187" s="11" t="n"/>
      <c r="L187" s="11" t="n"/>
    </row>
    <row r="188">
      <c r="A188" s="9" t="inlineStr">
        <is>
          <t>M187</t>
        </is>
      </c>
      <c r="B188" s="10" t="inlineStr">
        <is>
          <t>Noir – conforme</t>
        </is>
      </c>
      <c r="C188" s="9" t="inlineStr">
        <is>
          <t>BCPST1</t>
        </is>
      </c>
      <c r="D188" s="9" t="inlineStr">
        <is>
          <t>BCPST1 · Analyse 6 – Limites, continuité</t>
        </is>
      </c>
      <c r="E188" s="9" t="inlineStr">
        <is>
          <t>Théorème</t>
        </is>
      </c>
      <c r="F188" s="10" t="inlineStr">
        <is>
          <t>Composition suite-fonction</t>
        </is>
      </c>
      <c r="G188" s="9" t="inlineStr">
        <is>
          <t>Si $u_n\to a$ et $f(x)\xrightarrow[x\to a]{}b$, alors $f(u_n)\to b$.</t>
        </is>
      </c>
      <c r="H188" s="9" t="inlineStr">
        <is>
          <t>« Si (uₙ) tend vers a et si la limite de f en a est b, alors la suite (f(uₙ)) tend vers b. »</t>
        </is>
      </c>
      <c r="I188" s="9" t="n">
        <v>27</v>
      </c>
      <c r="J188" s="9" t="inlineStr"/>
      <c r="K188" s="11" t="n"/>
      <c r="L188" s="11" t="n"/>
    </row>
    <row r="189">
      <c r="A189" s="9" t="inlineStr">
        <is>
          <t>M188</t>
        </is>
      </c>
      <c r="B189" s="10" t="inlineStr">
        <is>
          <t>Noir – conforme</t>
        </is>
      </c>
      <c r="C189" s="9" t="inlineStr">
        <is>
          <t>BCPST1</t>
        </is>
      </c>
      <c r="D189" s="9" t="inlineStr">
        <is>
          <t>BCPST1 · Analyse 6 – Limites, continuité</t>
        </is>
      </c>
      <c r="E189" s="9" t="inlineStr">
        <is>
          <t>Propriété</t>
        </is>
      </c>
      <c r="F189" s="10" t="inlineStr">
        <is>
          <t>Opérations sur les limites (fonctions)</t>
        </is>
      </c>
      <c r="G189" s="9" t="inlineStr">
        <is>
          <t>Limites d'une somme, d'un produit, d'un produit par un réel, d'un quotient en $a$, sauf formes indéterminées $\infty-\infty$, $0\times\infty$, $\frac00$, $\frac\infty\infty$.</t>
        </is>
      </c>
      <c r="H189" s="9" t="inlineStr">
        <is>
          <t>« Opérations sur les limites. »</t>
        </is>
      </c>
      <c r="I189" s="9" t="n">
        <v>27</v>
      </c>
      <c r="J189" s="9" t="inlineStr"/>
      <c r="K189" s="11" t="n"/>
      <c r="L189" s="11" t="n"/>
    </row>
    <row r="190">
      <c r="A190" s="9" t="inlineStr">
        <is>
          <t>M189</t>
        </is>
      </c>
      <c r="B190" s="10" t="inlineStr">
        <is>
          <t>Noir – conforme</t>
        </is>
      </c>
      <c r="C190" s="9" t="inlineStr">
        <is>
          <t>BCPST1</t>
        </is>
      </c>
      <c r="D190" s="9" t="inlineStr">
        <is>
          <t>BCPST1 · Analyse 6 – Limites, continuité</t>
        </is>
      </c>
      <c r="E190" s="9" t="inlineStr">
        <is>
          <t>Théorème</t>
        </is>
      </c>
      <c r="F190" s="10" t="inlineStr">
        <is>
          <t>Composition de limites</t>
        </is>
      </c>
      <c r="G190" s="9" t="inlineStr">
        <is>
          <t>Si $f\to b$ en $a$ et $g\to l$ en $b$, alors $g\circ f\to l$ en $a$.</t>
        </is>
      </c>
      <c r="H190" s="9" t="inlineStr">
        <is>
          <t>« Limite de fonctions composées. »</t>
        </is>
      </c>
      <c r="I190" s="9" t="n">
        <v>27</v>
      </c>
      <c r="J190" s="9" t="inlineStr"/>
      <c r="K190" s="11" t="n"/>
      <c r="L190" s="11" t="n"/>
    </row>
    <row r="191">
      <c r="A191" s="12" t="inlineStr">
        <is>
          <t>M190</t>
        </is>
      </c>
      <c r="B191" s="13" t="inlineStr">
        <is>
          <t>Orange – incertain</t>
        </is>
      </c>
      <c r="C191" s="12" t="inlineStr">
        <is>
          <t>BCPST1</t>
        </is>
      </c>
      <c r="D191" s="12" t="inlineStr">
        <is>
          <t>BCPST1 · Analyse 6 – Limites, continuité</t>
        </is>
      </c>
      <c r="E191" s="12" t="inlineStr">
        <is>
          <t>Définition</t>
        </is>
      </c>
      <c r="F191" s="13" t="inlineStr">
        <is>
          <t>Voisinages – Définition</t>
        </is>
      </c>
      <c r="G191" s="12" t="inlineStr">
        <is>
          <t>Voisinage de $a$ : intervalle $[a-\eta,a+\eta]$, $\eta&gt;0$ ; de $+\infty$ : $[A,+\infty[$ ; de $-\infty$ : $]-\infty,A]$.</t>
        </is>
      </c>
      <c r="H191" s="12" t="inlineStr">
        <is>
          <t>Programme muet : notion non mentionnée. (le mot « voisinage » est employé sans être défini)</t>
        </is>
      </c>
      <c r="I191" s="12" t="n">
        <v>27</v>
      </c>
      <c r="J191" s="12" t="inlineStr"/>
      <c r="K191" s="14" t="n"/>
      <c r="L191" s="14" t="n"/>
    </row>
    <row r="192">
      <c r="A192" s="9" t="inlineStr">
        <is>
          <t>M191</t>
        </is>
      </c>
      <c r="B192" s="10" t="inlineStr">
        <is>
          <t>Noir – conforme</t>
        </is>
      </c>
      <c r="C192" s="9" t="inlineStr">
        <is>
          <t>BCPST1</t>
        </is>
      </c>
      <c r="D192" s="9" t="inlineStr">
        <is>
          <t>BCPST1 · Analyse 6 – Limites, continuité</t>
        </is>
      </c>
      <c r="E192" s="9" t="inlineStr">
        <is>
          <t>Propriété</t>
        </is>
      </c>
      <c r="F192" s="10" t="inlineStr">
        <is>
          <t>Signe local d'une fonction de limite non nulle</t>
        </is>
      </c>
      <c r="G192" s="9" t="inlineStr">
        <is>
          <t>Si $f\to l&gt;0$ (ou $+\infty$) en $a$, alors $f&gt;0$ au voisinage de $a$ ; si $l&lt;0$, $f&lt;0$ au voisinage de $a$.</t>
        </is>
      </c>
      <c r="H192" s="9" t="inlineStr">
        <is>
          <t>« Signe d'une fonction de limite non nulle. »</t>
        </is>
      </c>
      <c r="I192" s="9" t="n">
        <v>27</v>
      </c>
      <c r="J192" s="9" t="inlineStr"/>
      <c r="K192" s="11" t="n"/>
      <c r="L192" s="11" t="n"/>
    </row>
    <row r="193">
      <c r="A193" s="9" t="inlineStr">
        <is>
          <t>M192</t>
        </is>
      </c>
      <c r="B193" s="10" t="inlineStr">
        <is>
          <t>Noir – conforme</t>
        </is>
      </c>
      <c r="C193" s="9" t="inlineStr">
        <is>
          <t>BCPST1</t>
        </is>
      </c>
      <c r="D193" s="9" t="inlineStr">
        <is>
          <t>BCPST1 · Analyse 6 – Limites, continuité</t>
        </is>
      </c>
      <c r="E193" s="9" t="inlineStr">
        <is>
          <t>Théorème</t>
        </is>
      </c>
      <c r="F193" s="10" t="inlineStr">
        <is>
          <t>Passage aux limites dans une inégalité (fonctions)</t>
        </is>
      </c>
      <c r="G193" s="9" t="inlineStr">
        <is>
          <t>Si $f\le g$ au voisinage de $a$ et si les deux ont une limite en $a$, alors $\lim_af\le\lim_ag$.</t>
        </is>
      </c>
      <c r="H193" s="9" t="inlineStr">
        <is>
          <t>« Passage à la limite dans une inégalité large. »</t>
        </is>
      </c>
      <c r="I193" s="9" t="n">
        <v>27</v>
      </c>
      <c r="J193" s="9" t="inlineStr"/>
      <c r="K193" s="11" t="n"/>
      <c r="L193" s="11" t="n"/>
    </row>
    <row r="194">
      <c r="A194" s="9" t="inlineStr">
        <is>
          <t>M193</t>
        </is>
      </c>
      <c r="B194" s="10" t="inlineStr">
        <is>
          <t>Noir – conforme</t>
        </is>
      </c>
      <c r="C194" s="9" t="inlineStr">
        <is>
          <t>BCPST1</t>
        </is>
      </c>
      <c r="D194" s="9" t="inlineStr">
        <is>
          <t>BCPST1 · Analyse 6 – Limites, continuité</t>
        </is>
      </c>
      <c r="E194" s="9" t="inlineStr">
        <is>
          <t>Théorème</t>
        </is>
      </c>
      <c r="F194" s="10" t="inlineStr">
        <is>
          <t>Théorème des gendarmes (fonctions, limites finies)</t>
        </is>
      </c>
      <c r="G194" s="9" t="inlineStr">
        <is>
          <t>Si $f\le g\le h$ au voisinage de $a$ et si $f$ et $h$ tendent vers la même limite finie $l$ en $a$, alors $g\to l$ en $a$.</t>
        </is>
      </c>
      <c r="H194" s="9" t="inlineStr">
        <is>
          <t>« Théorème dit « des gendarmes » … »</t>
        </is>
      </c>
      <c r="I194" s="9" t="n">
        <v>28</v>
      </c>
      <c r="J194" s="9" t="inlineStr">
        <is>
          <t>Coquille dans l'ouvrage (rôles de $g$ et $h$ inversés) ; énoncé rétabli</t>
        </is>
      </c>
      <c r="K194" s="11" t="n"/>
      <c r="L194" s="11" t="n"/>
    </row>
    <row r="195">
      <c r="A195" s="9" t="inlineStr">
        <is>
          <t>M194</t>
        </is>
      </c>
      <c r="B195" s="10" t="inlineStr">
        <is>
          <t>Noir – conforme</t>
        </is>
      </c>
      <c r="C195" s="9" t="inlineStr">
        <is>
          <t>BCPST1</t>
        </is>
      </c>
      <c r="D195" s="9" t="inlineStr">
        <is>
          <t>BCPST1 · Analyse 6 – Limites, continuité</t>
        </is>
      </c>
      <c r="E195" s="9" t="inlineStr">
        <is>
          <t>Théorème</t>
        </is>
      </c>
      <c r="F195" s="10" t="inlineStr">
        <is>
          <t>Théorème de comparaison (fonctions, limites infinies)</t>
        </is>
      </c>
      <c r="G195" s="9" t="inlineStr">
        <is>
          <t>Si $f\le g$ au voisinage de $a$ : $f\to+\infty\Rightarrow g\to+\infty$ ; $g\to-\infty\Rightarrow f\to-\infty$.</t>
        </is>
      </c>
      <c r="H195" s="9" t="inlineStr">
        <is>
          <t>« … et extension aux limites infinies. »</t>
        </is>
      </c>
      <c r="I195" s="9" t="n">
        <v>28</v>
      </c>
      <c r="J195" s="9" t="inlineStr">
        <is>
          <t>Titre de l'ouvrage : « Théorème des gendarmes (limites infinies) »</t>
        </is>
      </c>
      <c r="K195" s="11" t="n"/>
      <c r="L195" s="11" t="n"/>
    </row>
    <row r="196">
      <c r="A196" s="9" t="inlineStr">
        <is>
          <t>M195</t>
        </is>
      </c>
      <c r="B196" s="10" t="inlineStr">
        <is>
          <t>Noir – conforme</t>
        </is>
      </c>
      <c r="C196" s="9" t="inlineStr">
        <is>
          <t>BCPST1</t>
        </is>
      </c>
      <c r="D196" s="9" t="inlineStr">
        <is>
          <t>BCPST1 · Analyse 6 – Limites, continuité</t>
        </is>
      </c>
      <c r="E196" s="9" t="inlineStr">
        <is>
          <t>Théorème</t>
        </is>
      </c>
      <c r="F196" s="10" t="inlineStr">
        <is>
          <t>Théorème de la limite monotone (fonctions)</t>
        </is>
      </c>
      <c r="G196" s="9" t="inlineStr">
        <is>
          <t>Une fonction monotone sur un intervalle $I$ admet une limite (finie ou infinie) à gauche et à droite en tout point de $\bar I$.</t>
        </is>
      </c>
      <c r="H196" s="9" t="inlineStr">
        <is>
          <t>« Théorème de la limite monotone. Une fonction monotone sur un intervalle ouvert admet une limite finie ou infinie aux bornes de l'intervalle. »</t>
        </is>
      </c>
      <c r="I196" s="9" t="n">
        <v>28</v>
      </c>
      <c r="J196" s="9" t="inlineStr">
        <is>
          <t>L'ouvrage dit « une limite en tout point » : en un point intérieur, ce sont des limites à gauche et à droite</t>
        </is>
      </c>
      <c r="K196" s="11" t="n"/>
      <c r="L196" s="11" t="n"/>
    </row>
    <row r="197">
      <c r="A197" s="9" t="inlineStr">
        <is>
          <t>M196</t>
        </is>
      </c>
      <c r="B197" s="10" t="inlineStr">
        <is>
          <t>Noir – conforme</t>
        </is>
      </c>
      <c r="C197" s="9" t="inlineStr">
        <is>
          <t>BCPST1</t>
        </is>
      </c>
      <c r="D197" s="9" t="inlineStr">
        <is>
          <t>BCPST1 · Analyse 6 – Limites, continuité</t>
        </is>
      </c>
      <c r="E197" s="9" t="inlineStr">
        <is>
          <t>Définition</t>
        </is>
      </c>
      <c r="F197" s="10" t="inlineStr">
        <is>
          <t>Fonctions équivalentes – Définition</t>
        </is>
      </c>
      <c r="G197" s="9" t="inlineStr">
        <is>
          <t>$f\sim_a g$ si $f=g+o_a(g)$.</t>
        </is>
      </c>
      <c r="H197" s="9" t="inlineStr">
        <is>
          <t>« Fonctions équivalentes, notation f ∼ g. »</t>
        </is>
      </c>
      <c r="I197" s="9" t="n">
        <v>28</v>
      </c>
      <c r="J197" s="9" t="inlineStr"/>
      <c r="K197" s="11" t="n"/>
      <c r="L197" s="11" t="n"/>
    </row>
    <row r="198">
      <c r="A198" s="9" t="inlineStr">
        <is>
          <t>M197</t>
        </is>
      </c>
      <c r="B198" s="10" t="inlineStr">
        <is>
          <t>Noir – conforme</t>
        </is>
      </c>
      <c r="C198" s="9" t="inlineStr">
        <is>
          <t>BCPST1</t>
        </is>
      </c>
      <c r="D198" s="9" t="inlineStr">
        <is>
          <t>BCPST1 · Analyse 6 – Limites, continuité</t>
        </is>
      </c>
      <c r="E198" s="9" t="inlineStr">
        <is>
          <t>Propriété</t>
        </is>
      </c>
      <c r="F198" s="10" t="inlineStr">
        <is>
          <t>Fonctions négligeables ou équivalentes – Critère</t>
        </is>
      </c>
      <c r="G198" s="9" t="inlineStr">
        <is>
          <t>Si $g$ ne s'annule pas au voisinage de $a$ (sauf peut-être en $a$) : $f=o_a(g)\iff f/g\to0$ ; $f\sim_ag\iff f/g\to1$.</t>
        </is>
      </c>
      <c r="H198" s="9" t="inlineStr">
        <is>
          <t>« se limite aux fonctions qui ne s'annulent pas au voisinage du point » ; A9 : « On se ramène … à la limite d'un quotient. »</t>
        </is>
      </c>
      <c r="I198" s="9" t="n">
        <v>28</v>
      </c>
      <c r="J198" s="9" t="inlineStr"/>
      <c r="K198" s="11" t="n"/>
      <c r="L198" s="11" t="n"/>
    </row>
    <row r="199">
      <c r="A199" s="12" t="inlineStr">
        <is>
          <t>M198</t>
        </is>
      </c>
      <c r="B199" s="13" t="inlineStr">
        <is>
          <t>Orange – incertain</t>
        </is>
      </c>
      <c r="C199" s="12" t="inlineStr">
        <is>
          <t>BCPST1</t>
        </is>
      </c>
      <c r="D199" s="12" t="inlineStr">
        <is>
          <t>BCPST1 · Analyse 6 – Limites, continuité</t>
        </is>
      </c>
      <c r="E199" s="12" t="inlineStr">
        <is>
          <t>Propriété</t>
        </is>
      </c>
      <c r="F199" s="13" t="inlineStr">
        <is>
          <t>Fonctions équivalentes – Propriétés</t>
        </is>
      </c>
      <c r="G199" s="12" t="inlineStr">
        <is>
          <t>La relation $\sim_a$ est réflexive, symétrique et transitive.</t>
        </is>
      </c>
      <c r="H199" s="12" t="inlineStr">
        <is>
          <t>Programme muet : notion non mentionnée. « Le développement reste modeste. »</t>
        </is>
      </c>
      <c r="I199" s="12" t="n">
        <v>28</v>
      </c>
      <c r="J199" s="12" t="inlineStr"/>
      <c r="K199" s="14" t="n"/>
      <c r="L199" s="14" t="n"/>
    </row>
    <row r="200">
      <c r="A200" s="9" t="inlineStr">
        <is>
          <t>M199</t>
        </is>
      </c>
      <c r="B200" s="10" t="inlineStr">
        <is>
          <t>Noir – conforme</t>
        </is>
      </c>
      <c r="C200" s="9" t="inlineStr">
        <is>
          <t>BCPST1</t>
        </is>
      </c>
      <c r="D200" s="9" t="inlineStr">
        <is>
          <t>BCPST1 · Analyse 6 – Limites, continuité</t>
        </is>
      </c>
      <c r="E200" s="9" t="inlineStr">
        <is>
          <t>Propriété</t>
        </is>
      </c>
      <c r="F200" s="10" t="inlineStr">
        <is>
          <t>Fonctions équivalentes – Règles de calcul</t>
        </is>
      </c>
      <c r="G200" s="9" t="inlineStr">
        <is>
          <t>Les équivalents se multiplient, se divisent, s'élèvent à une puissance fixe ; si $f\sim_ag$ et $u_n\to a$, alors $f(u_n)\sim g(u_n)$. On ne peut ni les additionner, ni les composer par une fonction.</t>
        </is>
      </c>
      <c r="H200" s="9" t="inlineStr">
        <is>
          <t>« L'équivalence est compatible avec la multiplication, la division et l'élévation à une puissance constante. »</t>
        </is>
      </c>
      <c r="I200" s="9" t="n">
        <v>29</v>
      </c>
      <c r="J200" s="9" t="inlineStr"/>
      <c r="K200" s="11" t="n"/>
      <c r="L200" s="11" t="n"/>
    </row>
    <row r="201">
      <c r="A201" s="9" t="inlineStr">
        <is>
          <t>M200</t>
        </is>
      </c>
      <c r="B201" s="10" t="inlineStr">
        <is>
          <t>Noir – conforme</t>
        </is>
      </c>
      <c r="C201" s="9" t="inlineStr">
        <is>
          <t>BCPST1</t>
        </is>
      </c>
      <c r="D201" s="9" t="inlineStr">
        <is>
          <t>BCPST1 · Analyse 6 – Limites, continuité</t>
        </is>
      </c>
      <c r="E201" s="9" t="inlineStr">
        <is>
          <t>Propriété</t>
        </is>
      </c>
      <c r="F201" s="10" t="inlineStr">
        <is>
          <t>Fonctions équivalentes et limites</t>
        </is>
      </c>
      <c r="G201" s="9" t="inlineStr">
        <is>
          <t>Si $f\sim_ag$ et $g\to l$ en $a$, alors $f\to l$ ; si $f\to l$ finie non nulle, $f\sim_al$.</t>
        </is>
      </c>
      <c r="H201" s="9" t="inlineStr">
        <is>
          <t>« Utilisation des équivalents pour la recherche de limites. »</t>
        </is>
      </c>
      <c r="I201" s="9" t="n">
        <v>29</v>
      </c>
      <c r="J201" s="9" t="inlineStr"/>
      <c r="K201" s="11" t="n"/>
      <c r="L201" s="11" t="n"/>
    </row>
    <row r="202">
      <c r="A202" s="9" t="inlineStr">
        <is>
          <t>M201</t>
        </is>
      </c>
      <c r="B202" s="10" t="inlineStr">
        <is>
          <t>Noir – conforme</t>
        </is>
      </c>
      <c r="C202" s="9" t="inlineStr">
        <is>
          <t>BCPST1</t>
        </is>
      </c>
      <c r="D202" s="9" t="inlineStr">
        <is>
          <t>BCPST1 · Analyse 6 – Limites, continuité</t>
        </is>
      </c>
      <c r="E202" s="9" t="inlineStr">
        <is>
          <t>Définition</t>
        </is>
      </c>
      <c r="F202" s="10" t="inlineStr">
        <is>
          <t>Continuité – Définitions</t>
        </is>
      </c>
      <c r="G202" s="9" t="inlineStr">
        <is>
          <t>$f$ continue en $a$ si $\lim_af=f(a)$ ; continue à gauche (à droite) si $\lim_{a^-}f=f(a)$ ($\lim_{a^+}f=f(a)$) ; continue sur $I$ si continue en tout point de $I$.</t>
        </is>
      </c>
      <c r="H202" s="9" t="inlineStr">
        <is>
          <t>« Continuité en un point. Continuité à droite et à gauche … Continuité sur un intervalle. »</t>
        </is>
      </c>
      <c r="I202" s="9" t="n">
        <v>29</v>
      </c>
      <c r="J202" s="9" t="inlineStr"/>
      <c r="K202" s="11" t="n"/>
      <c r="L202" s="11" t="n"/>
    </row>
    <row r="203">
      <c r="A203" s="9" t="inlineStr">
        <is>
          <t>M202</t>
        </is>
      </c>
      <c r="B203" s="10" t="inlineStr">
        <is>
          <t>Noir – conforme</t>
        </is>
      </c>
      <c r="C203" s="9" t="inlineStr">
        <is>
          <t>BCPST1</t>
        </is>
      </c>
      <c r="D203" s="9" t="inlineStr">
        <is>
          <t>BCPST1 · Analyse 6 – Limites, continuité</t>
        </is>
      </c>
      <c r="E203" s="9" t="inlineStr">
        <is>
          <t>Propriété</t>
        </is>
      </c>
      <c r="F203" s="10" t="inlineStr">
        <is>
          <t>Continuité – Critère</t>
        </is>
      </c>
      <c r="G203" s="9" t="inlineStr">
        <is>
          <t>$f$ est continue en $a$ ssi elle est continue à gauche et à droite en $a$.</t>
        </is>
      </c>
      <c r="H203" s="9" t="inlineStr">
        <is>
          <t>« Continuité à droite et à gauche. »</t>
        </is>
      </c>
      <c r="I203" s="9" t="n">
        <v>29</v>
      </c>
      <c r="J203" s="9" t="inlineStr"/>
      <c r="K203" s="11" t="n"/>
      <c r="L203" s="11" t="n"/>
    </row>
    <row r="204">
      <c r="A204" s="9" t="inlineStr">
        <is>
          <t>M203</t>
        </is>
      </c>
      <c r="B204" s="10" t="inlineStr">
        <is>
          <t>Noir – conforme</t>
        </is>
      </c>
      <c r="C204" s="9" t="inlineStr">
        <is>
          <t>BCPST1</t>
        </is>
      </c>
      <c r="D204" s="9" t="inlineStr">
        <is>
          <t>BCPST1 · Analyse 6 – Limites, continuité</t>
        </is>
      </c>
      <c r="E204" s="9" t="inlineStr">
        <is>
          <t>Propriété</t>
        </is>
      </c>
      <c r="F204" s="10" t="inlineStr">
        <is>
          <t>Opérations sur les fonctions continues</t>
        </is>
      </c>
      <c r="G204" s="9" t="inlineStr">
        <is>
          <t>$f+g$, $fg$, $\lambda f$ sont continues ; si $g$ ne s'annule pas, $1/g$ et $f/g$ sont continues.</t>
        </is>
      </c>
      <c r="H204" s="9" t="inlineStr">
        <is>
          <t>« Opérations, composition. »</t>
        </is>
      </c>
      <c r="I204" s="9" t="n">
        <v>29</v>
      </c>
      <c r="J204" s="9" t="inlineStr"/>
      <c r="K204" s="11" t="n"/>
      <c r="L204" s="11" t="n"/>
    </row>
    <row r="205">
      <c r="A205" s="9" t="inlineStr">
        <is>
          <t>M204</t>
        </is>
      </c>
      <c r="B205" s="10" t="inlineStr">
        <is>
          <t>Noir – conforme</t>
        </is>
      </c>
      <c r="C205" s="9" t="inlineStr">
        <is>
          <t>BCPST1</t>
        </is>
      </c>
      <c r="D205" s="9" t="inlineStr">
        <is>
          <t>BCPST1 · Analyse 6 – Limites, continuité</t>
        </is>
      </c>
      <c r="E205" s="9" t="inlineStr">
        <is>
          <t>Propriété</t>
        </is>
      </c>
      <c r="F205" s="10" t="inlineStr">
        <is>
          <t>Composition et continuité</t>
        </is>
      </c>
      <c r="G205" s="9" t="inlineStr">
        <is>
          <t>Si $f$ est continue en $a$ et $g$ continue en $f(a)$, alors $g\circ f$ est continue en $a$ ; idem sur des intervalles avec $f(I)\subset J$.</t>
        </is>
      </c>
      <c r="H205" s="9" t="inlineStr">
        <is>
          <t>« Opérations, composition. »</t>
        </is>
      </c>
      <c r="I205" s="9" t="n">
        <v>30</v>
      </c>
      <c r="J205" s="9" t="inlineStr"/>
      <c r="K205" s="11" t="n"/>
      <c r="L205" s="11" t="n"/>
    </row>
    <row r="206">
      <c r="A206" s="9" t="inlineStr">
        <is>
          <t>M205</t>
        </is>
      </c>
      <c r="B206" s="10" t="inlineStr">
        <is>
          <t>Noir – conforme</t>
        </is>
      </c>
      <c r="C206" s="9" t="inlineStr">
        <is>
          <t>BCPST1</t>
        </is>
      </c>
      <c r="D206" s="9" t="inlineStr">
        <is>
          <t>BCPST1 · Analyse 6 – Limites, continuité</t>
        </is>
      </c>
      <c r="E206" s="9" t="inlineStr">
        <is>
          <t>Théorème</t>
        </is>
      </c>
      <c r="F206" s="10" t="inlineStr">
        <is>
          <t>Théorème des valeurs intermédiaires</t>
        </is>
      </c>
      <c r="G206" s="9" t="inlineStr">
        <is>
          <t>Si $f$ est continue sur $[a,b]$, elle prend toute valeur comprise entre $f(a)$ et $f(b)$. L'image d'un intervalle par une fonction continue est un intervalle.</t>
        </is>
      </c>
      <c r="H206" s="9" t="inlineStr">
        <is>
          <t>« Théorème des valeurs intermédiaires. »</t>
        </is>
      </c>
      <c r="I206" s="9" t="n">
        <v>30</v>
      </c>
      <c r="J206" s="9" t="inlineStr"/>
      <c r="K206" s="11" t="n"/>
      <c r="L206" s="11" t="n"/>
    </row>
    <row r="207">
      <c r="A207" s="9" t="inlineStr">
        <is>
          <t>M206</t>
        </is>
      </c>
      <c r="B207" s="10" t="inlineStr">
        <is>
          <t>Noir – conforme</t>
        </is>
      </c>
      <c r="C207" s="9" t="inlineStr">
        <is>
          <t>BCPST1</t>
        </is>
      </c>
      <c r="D207" s="9" t="inlineStr">
        <is>
          <t>BCPST1 · Analyse 6 – Limites, continuité</t>
        </is>
      </c>
      <c r="E207" s="9" t="inlineStr">
        <is>
          <t>Théorème</t>
        </is>
      </c>
      <c r="F207" s="10" t="inlineStr">
        <is>
          <t>Théorème de continuité sur un segment</t>
        </is>
      </c>
      <c r="G207" s="9" t="inlineStr">
        <is>
          <t>Une fonction continue sur un segment $[a,b]$ est bornée et atteint ses bornes : $f([a,b])=[m,M]$.</t>
        </is>
      </c>
      <c r="H207" s="9" t="inlineStr">
        <is>
          <t>« Toute fonction continue sur un segment est bornée et atteint ses bornes. Ce résultat est admis. »</t>
        </is>
      </c>
      <c r="I207" s="9" t="n">
        <v>30</v>
      </c>
      <c r="J207" s="9" t="inlineStr"/>
      <c r="K207" s="11" t="n"/>
      <c r="L207" s="11" t="n"/>
    </row>
    <row r="208">
      <c r="A208" s="9" t="inlineStr">
        <is>
          <t>M207</t>
        </is>
      </c>
      <c r="B208" s="10" t="inlineStr">
        <is>
          <t>Noir – conforme</t>
        </is>
      </c>
      <c r="C208" s="9" t="inlineStr">
        <is>
          <t>BCPST1</t>
        </is>
      </c>
      <c r="D208" s="9" t="inlineStr">
        <is>
          <t>BCPST1 · Analyse 6 – Limites, continuité</t>
        </is>
      </c>
      <c r="E208" s="9" t="inlineStr">
        <is>
          <t>Théorème</t>
        </is>
      </c>
      <c r="F208" s="10" t="inlineStr">
        <is>
          <t>Théorème de la bijection</t>
        </is>
      </c>
      <c r="G208" s="9" t="inlineStr">
        <is>
          <t>Une fonction continue strictement monotone sur un intervalle $I$ réalise une bijection de $I$ sur l'intervalle $f(I)$ ; $f^{-1}$ est continue, de même monotonie, et son graphe est le symétrique de celui de $f$ par rapport à $y=x$.</t>
        </is>
      </c>
      <c r="H208" s="9" t="inlineStr">
        <is>
          <t>« Théorème de la bijection : une fonction f continue et strictement monotone sur un intervalle I réalise une bijection de I sur f(I) … réciproque continue et strictement monotone. »</t>
        </is>
      </c>
      <c r="I208" s="9" t="n">
        <v>30</v>
      </c>
      <c r="J208" s="9" t="inlineStr"/>
      <c r="K208" s="11" t="n"/>
      <c r="L208" s="11" t="n"/>
    </row>
    <row r="209">
      <c r="A209" s="15" t="inlineStr">
        <is>
          <t>M208</t>
        </is>
      </c>
      <c r="B209" s="16" t="inlineStr">
        <is>
          <t>Rouge – hors programme</t>
        </is>
      </c>
      <c r="C209" s="15" t="inlineStr">
        <is>
          <t>BCPST1</t>
        </is>
      </c>
      <c r="D209" s="15" t="inlineStr">
        <is>
          <t>BCPST1 · Analyse 6 – Limites, continuité</t>
        </is>
      </c>
      <c r="E209" s="15" t="inlineStr">
        <is>
          <t>Formulaire</t>
        </is>
      </c>
      <c r="F209" s="16" t="inlineStr">
        <is>
          <t>Fonctions circulaires réciproques (formules d'addition d'Arctan)</t>
        </is>
      </c>
      <c r="G209" s="15" t="inlineStr">
        <is>
          <t>Pour $x\neq0$ : $\arctan x+\arctan\frac1x=\frac\pi2\mathrm{sgn}(x)$ ; $\arctan a+\arctan b=\arctan\frac{a+b}{1-ab}$ si $ab&lt;1$ (avec corrections $\pm\pi$ si $ab&gt;1$).</t>
        </is>
      </c>
      <c r="H209" s="15" t="inlineStr">
        <is>
          <t>« Définition, monotonie et représentation graphique de la fonction arctan. Aucune formule n'est à connaitre excepté l'imparité de la fonction arctan. »</t>
        </is>
      </c>
      <c r="I209" s="15" t="n">
        <v>104</v>
      </c>
      <c r="J209" s="15" t="inlineStr"/>
      <c r="K209" s="17" t="n"/>
      <c r="L209" s="17" t="n"/>
    </row>
    <row r="210">
      <c r="A210" s="9" t="inlineStr">
        <is>
          <t>M209</t>
        </is>
      </c>
      <c r="B210" s="10" t="inlineStr">
        <is>
          <t>Noir – conforme</t>
        </is>
      </c>
      <c r="C210" s="9" t="inlineStr">
        <is>
          <t>BCPST1</t>
        </is>
      </c>
      <c r="D210" s="9" t="inlineStr">
        <is>
          <t>BCPST1 · Analyse 7 – Dérivation</t>
        </is>
      </c>
      <c r="E210" s="9" t="inlineStr">
        <is>
          <t>Propriété</t>
        </is>
      </c>
      <c r="F210" s="10" t="inlineStr">
        <is>
          <t>Fonction Arctan et sa dérivée</t>
        </is>
      </c>
      <c r="G210" s="9" t="inlineStr">
        <is>
          <t>$\arctan:\mathbb R\to\left]-\frac\pi2,\frac\pi2\right[$, bijection réciproque de $\tan$ restreinte à $\left]-\frac\pi2,\frac\pi2\right[$ ; impaire, strictement croissante ; $\arctan'(x)=\dfrac1{1+x^2}$.</t>
        </is>
      </c>
      <c r="H210" s="9" t="inlineStr">
        <is>
          <t>« Dérivation d'une fonction réciproque. Dérivée de la fonction arctan. » ; A6 : « Définition, monotonie et représentation graphique de la fonction arctan ». (Arcsin/Arccos : fiche séparée)</t>
        </is>
      </c>
      <c r="I210" s="9" t="n">
        <v>31</v>
      </c>
      <c r="J210" s="9" t="inlineStr">
        <is>
          <t>Cadre « Fonctions trigonométriques circulaires réciproques » scindé ; bas du cadre coupé par la capture (dérivée d'Arctan complétée)</t>
        </is>
      </c>
      <c r="K210" s="11" t="n"/>
      <c r="L210" s="11" t="n"/>
    </row>
    <row r="211">
      <c r="A211" s="9" t="inlineStr">
        <is>
          <t>M210</t>
        </is>
      </c>
      <c r="B211" s="10" t="inlineStr">
        <is>
          <t>Noir – conforme</t>
        </is>
      </c>
      <c r="C211" s="9" t="inlineStr">
        <is>
          <t>BCPST1</t>
        </is>
      </c>
      <c r="D211" s="9" t="inlineStr">
        <is>
          <t>BCPST1 · Analyse 7 – Dérivation</t>
        </is>
      </c>
      <c r="E211" s="9" t="inlineStr">
        <is>
          <t>Définition</t>
        </is>
      </c>
      <c r="F211" s="10" t="inlineStr">
        <is>
          <t>Dérivabilité en un point – Définitions</t>
        </is>
      </c>
      <c r="G211" s="9" t="inlineStr">
        <is>
          <t>$f$ est dérivable en $a$ si $\frac{f(x)-f(a)}{x-a}$ a une limite finie en $a$, notée $f'(a)$ ; dérivées à droite $f'_d(a)$ et à gauche $f'_g(a)$ : limites à droite et à gauche de ce taux.</t>
        </is>
      </c>
      <c r="H211" s="9" t="inlineStr">
        <is>
          <t>« Dérivée en un point. Dérivée à gauche, dérivée à droite. »</t>
        </is>
      </c>
      <c r="I211" s="9" t="n">
        <v>31</v>
      </c>
      <c r="J211" s="9" t="inlineStr"/>
      <c r="K211" s="11" t="n"/>
      <c r="L211" s="11" t="n"/>
    </row>
    <row r="212">
      <c r="A212" s="9" t="inlineStr">
        <is>
          <t>M211</t>
        </is>
      </c>
      <c r="B212" s="10" t="inlineStr">
        <is>
          <t>Noir – conforme</t>
        </is>
      </c>
      <c r="C212" s="9" t="inlineStr">
        <is>
          <t>BCPST1</t>
        </is>
      </c>
      <c r="D212" s="9" t="inlineStr">
        <is>
          <t>BCPST1 · Analyse 7 – Dérivation</t>
        </is>
      </c>
      <c r="E212" s="9" t="inlineStr">
        <is>
          <t>Propriété</t>
        </is>
      </c>
      <c r="F212" s="10" t="inlineStr">
        <is>
          <t>Dérivabilité en un point – Critère</t>
        </is>
      </c>
      <c r="G212" s="9" t="inlineStr">
        <is>
          <t>En un point intérieur, $f$ est dérivable en $a$ ssi elle est dérivable à droite et à gauche avec $f'_g(a)=f'_d(a)$.</t>
        </is>
      </c>
      <c r="H212" s="9" t="inlineStr">
        <is>
          <t>« Dérivée à gauche, dérivée à droite. »</t>
        </is>
      </c>
      <c r="I212" s="9" t="n">
        <v>31</v>
      </c>
      <c r="J212" s="9" t="inlineStr"/>
      <c r="K212" s="11" t="n"/>
      <c r="L212" s="11" t="n"/>
    </row>
    <row r="213">
      <c r="A213" s="9" t="inlineStr">
        <is>
          <t>M212</t>
        </is>
      </c>
      <c r="B213" s="10" t="inlineStr">
        <is>
          <t>Noir – conforme</t>
        </is>
      </c>
      <c r="C213" s="9" t="inlineStr">
        <is>
          <t>BCPST1</t>
        </is>
      </c>
      <c r="D213" s="9" t="inlineStr">
        <is>
          <t>BCPST1 · Analyse 7 – Dérivation</t>
        </is>
      </c>
      <c r="E213" s="9" t="inlineStr">
        <is>
          <t>Propriété</t>
        </is>
      </c>
      <c r="F213" s="10" t="inlineStr">
        <is>
          <t>Dérivabilité en un point – Interprétation graphique</t>
        </is>
      </c>
      <c r="G213" s="9" t="inlineStr">
        <is>
          <t>Tangente en $a$ : $y=f'(a)(x-a)+f(a)$ (demi-tangentes avec $f'_d$, $f'_g$). Si le taux d'accroissement tend vers $\pm\infty$ : tangente (ou demi-tangente) verticale.</t>
        </is>
      </c>
      <c r="H213" s="9" t="inlineStr">
        <is>
          <t>« Interprétation graphique, équation de la tangente à une courbe d'équation y = f(x). »</t>
        </is>
      </c>
      <c r="I213" s="9" t="n">
        <v>32</v>
      </c>
      <c r="J213" s="9" t="inlineStr"/>
      <c r="K213" s="11" t="n"/>
      <c r="L213" s="11" t="n"/>
    </row>
    <row r="214">
      <c r="A214" s="9" t="inlineStr">
        <is>
          <t>M213</t>
        </is>
      </c>
      <c r="B214" s="10" t="inlineStr">
        <is>
          <t>Noir – conforme</t>
        </is>
      </c>
      <c r="C214" s="9" t="inlineStr">
        <is>
          <t>BCPST1</t>
        </is>
      </c>
      <c r="D214" s="9" t="inlineStr">
        <is>
          <t>BCPST1 · Analyse 7 – Dérivation</t>
        </is>
      </c>
      <c r="E214" s="9" t="inlineStr">
        <is>
          <t>Théorème</t>
        </is>
      </c>
      <c r="F214" s="10" t="inlineStr">
        <is>
          <t>Dérivabilité d'une application réciproque</t>
        </is>
      </c>
      <c r="G214" s="9" t="inlineStr">
        <is>
          <t>Si $f:I\to J$ est bijective et dérivable, $f^{-1}$ est dérivable en $y_0=f(x_0)$ dès que $f'(x_0)\neq0$, et $(f^{-1})'(y_0)=\dfrac1{f'(f^{-1}(y_0))}$.</t>
        </is>
      </c>
      <c r="H214" s="9" t="inlineStr">
        <is>
          <t>« Dérivation d'une fonction réciproque. »</t>
        </is>
      </c>
      <c r="I214" s="9" t="n">
        <v>32</v>
      </c>
      <c r="J214" s="9" t="inlineStr"/>
      <c r="K214" s="11" t="n"/>
      <c r="L214" s="11" t="n"/>
    </row>
    <row r="215">
      <c r="A215" s="12" t="inlineStr">
        <is>
          <t>M214</t>
        </is>
      </c>
      <c r="B215" s="13" t="inlineStr">
        <is>
          <t>Orange – incertain</t>
        </is>
      </c>
      <c r="C215" s="12" t="inlineStr">
        <is>
          <t>BCPST1</t>
        </is>
      </c>
      <c r="D215" s="12" t="inlineStr">
        <is>
          <t>BCPST1 · Analyse 7 – Dérivation</t>
        </is>
      </c>
      <c r="E215" s="12" t="inlineStr">
        <is>
          <t>Propriété</t>
        </is>
      </c>
      <c r="F215" s="13" t="inlineStr">
        <is>
          <t>Dérivation et continuité</t>
        </is>
      </c>
      <c r="G215" s="12" t="inlineStr">
        <is>
          <t>Une fonction dérivable en $a$ est continue en $a$.</t>
        </is>
      </c>
      <c r="H215" s="12" t="inlineStr">
        <is>
          <t>Programme muet : notion non mentionnée. (résultat de base utilisé implicitement)</t>
        </is>
      </c>
      <c r="I215" s="12" t="n">
        <v>32</v>
      </c>
      <c r="J215" s="12" t="inlineStr"/>
      <c r="K215" s="14" t="n"/>
      <c r="L215" s="14" t="n"/>
    </row>
    <row r="216">
      <c r="A216" s="9" t="inlineStr">
        <is>
          <t>M215</t>
        </is>
      </c>
      <c r="B216" s="10" t="inlineStr">
        <is>
          <t>Noir – conforme</t>
        </is>
      </c>
      <c r="C216" s="9" t="inlineStr">
        <is>
          <t>BCPST1</t>
        </is>
      </c>
      <c r="D216" s="9" t="inlineStr">
        <is>
          <t>BCPST1 · Analyse 7 – Dérivation</t>
        </is>
      </c>
      <c r="E216" s="9" t="inlineStr">
        <is>
          <t>Propriété</t>
        </is>
      </c>
      <c r="F216" s="10" t="inlineStr">
        <is>
          <t>Propriétés des dérivées</t>
        </is>
      </c>
      <c r="G216" s="9" t="inlineStr">
        <is>
          <t>$(f+g)'=f'+g'$ ; $(\lambda f)'=\lambda f'$ ; $(fg)'=f'g+fg'$ ; $(1/g)'=-g'/g^2$ ; $(f/g)'=(f'g-fg')/g^2$ ; $(g\circ f)'=(g'\circ f)\,f'$.</t>
        </is>
      </c>
      <c r="H216" s="9" t="inlineStr">
        <is>
          <t>« Opérations sur les dérivées : linéarité, produit, quotient, fonction composée. »</t>
        </is>
      </c>
      <c r="I216" s="9" t="n">
        <v>32</v>
      </c>
      <c r="J216" s="9" t="inlineStr"/>
      <c r="K216" s="11" t="n"/>
      <c r="L216" s="11" t="n"/>
    </row>
    <row r="217">
      <c r="A217" s="9" t="inlineStr">
        <is>
          <t>M216</t>
        </is>
      </c>
      <c r="B217" s="10" t="inlineStr">
        <is>
          <t>Noir – conforme</t>
        </is>
      </c>
      <c r="C217" s="9" t="inlineStr">
        <is>
          <t>BCPST1</t>
        </is>
      </c>
      <c r="D217" s="9" t="inlineStr">
        <is>
          <t>BCPST1 · Analyse 7 – Dérivation</t>
        </is>
      </c>
      <c r="E217" s="9" t="inlineStr">
        <is>
          <t>Définition</t>
        </is>
      </c>
      <c r="F217" s="10" t="inlineStr">
        <is>
          <t>Dérivabilité d'une fonction sur un intervalle</t>
        </is>
      </c>
      <c r="G217" s="9" t="inlineStr">
        <is>
          <t>$f$ est dérivable sur $J$ si elle est dérivable en tout point de $J$.</t>
        </is>
      </c>
      <c r="H217" s="9" t="inlineStr">
        <is>
          <t>« Fonction dérivée. »</t>
        </is>
      </c>
      <c r="I217" s="9" t="n">
        <v>33</v>
      </c>
      <c r="J217" s="9" t="inlineStr"/>
      <c r="K217" s="11" t="n"/>
      <c r="L217" s="11" t="n"/>
    </row>
    <row r="218">
      <c r="A218" s="15" t="inlineStr">
        <is>
          <t>M217</t>
        </is>
      </c>
      <c r="B218" s="16" t="inlineStr">
        <is>
          <t>Rouge – hors programme</t>
        </is>
      </c>
      <c r="C218" s="15" t="inlineStr">
        <is>
          <t>BCPST1</t>
        </is>
      </c>
      <c r="D218" s="15" t="inlineStr">
        <is>
          <t>BCPST1 · Analyse 7 – Dérivation</t>
        </is>
      </c>
      <c r="E218" s="15" t="inlineStr">
        <is>
          <t>Théorème</t>
        </is>
      </c>
      <c r="F218" s="16" t="inlineStr">
        <is>
          <t>Formule de Leibniz</t>
        </is>
      </c>
      <c r="G218" s="15" t="inlineStr">
        <is>
          <t>Si $f$ et $g$ sont $n$ fois dérivables : $(fg)^{(n)}=\sum_{k=0}^n\binom nk f^{(k)}g^{(n-k)}$.</t>
        </is>
      </c>
      <c r="H218" s="15" t="inlineStr">
        <is>
          <t>« La formule de Leibniz est hors programme. »</t>
        </is>
      </c>
      <c r="I218" s="15" t="n">
        <v>33</v>
      </c>
      <c r="J218" s="15" t="inlineStr"/>
      <c r="K218" s="17" t="n"/>
      <c r="L218" s="17" t="n"/>
    </row>
    <row r="219">
      <c r="A219" s="9" t="inlineStr">
        <is>
          <t>M218</t>
        </is>
      </c>
      <c r="B219" s="10" t="inlineStr">
        <is>
          <t>Noir – conforme</t>
        </is>
      </c>
      <c r="C219" s="9" t="inlineStr">
        <is>
          <t>BCPST1</t>
        </is>
      </c>
      <c r="D219" s="9" t="inlineStr">
        <is>
          <t>BCPST1 · Analyse 7 – Dérivation</t>
        </is>
      </c>
      <c r="E219" s="9" t="inlineStr">
        <is>
          <t>Définition</t>
        </is>
      </c>
      <c r="F219" s="10" t="inlineStr">
        <is>
          <t>Classe d'une fonction</t>
        </is>
      </c>
      <c r="G219" s="9" t="inlineStr">
        <is>
          <t>$f$ est de classe $\mathcal C^k$ sur $I$ si elle est $k$ fois dérivable sur $I$ et $f^{(k)}$ est continue sur $I$.</t>
        </is>
      </c>
      <c r="H219" s="9" t="inlineStr">
        <is>
          <t>« Fonctions de classe Cⁿ, de classe C^∞. »</t>
        </is>
      </c>
      <c r="I219" s="9" t="n">
        <v>33</v>
      </c>
      <c r="J219" s="9" t="inlineStr"/>
      <c r="K219" s="11" t="n"/>
      <c r="L219" s="11" t="n"/>
    </row>
    <row r="220">
      <c r="A220" s="9" t="inlineStr">
        <is>
          <t>M219</t>
        </is>
      </c>
      <c r="B220" s="10" t="inlineStr">
        <is>
          <t>Noir – conforme</t>
        </is>
      </c>
      <c r="C220" s="9" t="inlineStr">
        <is>
          <t>BCPST1</t>
        </is>
      </c>
      <c r="D220" s="9" t="inlineStr">
        <is>
          <t>BCPST1 · Analyse 7 – Dérivation</t>
        </is>
      </c>
      <c r="E220" s="9" t="inlineStr">
        <is>
          <t>Théorème</t>
        </is>
      </c>
      <c r="F220" s="10" t="inlineStr">
        <is>
          <t>Théorème de Rolle</t>
        </is>
      </c>
      <c r="G220" s="9" t="inlineStr">
        <is>
          <t>Si $f$ est continue sur $[a,b]$, dérivable sur $]a,b[$ et $f(a)=f(b)$, alors il existe $c\in]a,b[$ tel que $f'(c)=0$.</t>
        </is>
      </c>
      <c r="H220" s="9" t="inlineStr">
        <is>
          <t>« Théorème de Rolle. »</t>
        </is>
      </c>
      <c r="I220" s="9" t="n">
        <v>33</v>
      </c>
      <c r="J220" s="9" t="inlineStr"/>
      <c r="K220" s="11" t="n"/>
      <c r="L220" s="11" t="n"/>
    </row>
    <row r="221">
      <c r="A221" s="9" t="inlineStr">
        <is>
          <t>M220</t>
        </is>
      </c>
      <c r="B221" s="10" t="inlineStr">
        <is>
          <t>Noir – conforme</t>
        </is>
      </c>
      <c r="C221" s="9" t="inlineStr">
        <is>
          <t>BCPST1</t>
        </is>
      </c>
      <c r="D221" s="9" t="inlineStr">
        <is>
          <t>BCPST1 · Analyse 7 – Dérivation</t>
        </is>
      </c>
      <c r="E221" s="9" t="inlineStr">
        <is>
          <t>Théorème</t>
        </is>
      </c>
      <c r="F221" s="10" t="inlineStr">
        <is>
          <t>Théorème des accroissements finis</t>
        </is>
      </c>
      <c r="G221" s="9" t="inlineStr">
        <is>
          <t>Si $f$ est continue sur $[a,b]$ et dérivable sur $]a,b[$, il existe $c\in]a,b[$ tel que $f(b)-f(a)=(b-a)f'(c)$.</t>
        </is>
      </c>
      <c r="H221" s="9" t="inlineStr">
        <is>
          <t>« Formule des accroissements finis. »</t>
        </is>
      </c>
      <c r="I221" s="9" t="n">
        <v>33</v>
      </c>
      <c r="J221" s="9" t="inlineStr"/>
      <c r="K221" s="11" t="n"/>
      <c r="L221" s="11" t="n"/>
    </row>
    <row r="222">
      <c r="A222" s="15" t="inlineStr">
        <is>
          <t>M221</t>
        </is>
      </c>
      <c r="B222" s="16" t="inlineStr">
        <is>
          <t>Rouge – hors programme</t>
        </is>
      </c>
      <c r="C222" s="15" t="inlineStr">
        <is>
          <t>BCPST1</t>
        </is>
      </c>
      <c r="D222" s="15" t="inlineStr">
        <is>
          <t>BCPST1 · Analyse 7 – Dérivation</t>
        </is>
      </c>
      <c r="E222" s="15" t="inlineStr">
        <is>
          <t>Théorème</t>
        </is>
      </c>
      <c r="F222" s="16" t="inlineStr">
        <is>
          <t>Inégalité de Taylor-Lagrange</t>
        </is>
      </c>
      <c r="G222" s="15" t="inlineStr">
        <is>
          <t>Si $f$ est $\mathcal C^{n+1}$ sur $[a,b]$ et $|f^{(n+1)}|\le M$ : $\left|f(b)-\sum_{k=0}^n\frac{f^{(k)}(a)}{k!}(b-a)^k\right|\le M\dfrac{|b-a|^{n+1}}{(n+1)!}$.</t>
        </is>
      </c>
      <c r="H222" s="15" t="inlineStr">
        <is>
          <t>« La formule de Taylor-Lagrange est hors programme. » ; « L'inégalité des accroissements finis est hors programme ».</t>
        </is>
      </c>
      <c r="I222" s="15" t="n">
        <v>33</v>
      </c>
      <c r="J222" s="15" t="inlineStr"/>
      <c r="K222" s="17" t="n"/>
      <c r="L222" s="17" t="n"/>
    </row>
    <row r="223">
      <c r="A223" s="12" t="inlineStr">
        <is>
          <t>M222</t>
        </is>
      </c>
      <c r="B223" s="13" t="inlineStr">
        <is>
          <t>Orange – incertain</t>
        </is>
      </c>
      <c r="C223" s="12" t="inlineStr">
        <is>
          <t>BCPST1</t>
        </is>
      </c>
      <c r="D223" s="12" t="inlineStr">
        <is>
          <t>BCPST1 · Analyse 7 – Dérivation</t>
        </is>
      </c>
      <c r="E223" s="12" t="inlineStr">
        <is>
          <t>Théorème</t>
        </is>
      </c>
      <c r="F223" s="13" t="inlineStr">
        <is>
          <t>Formule de Taylor avec reste intégral</t>
        </is>
      </c>
      <c r="G223" s="12" t="inlineStr">
        <is>
          <t>Si $f$ est $\mathcal C^{n+1}$ sur $[a,b]$ : $f(b)=\sum_{k=0}^n\frac{f^{(k)}(a)}{k!}(b-a)^k+\int_a^b\frac{(b-t)^n}{n!}f^{(n+1)}(t)\,dt$.</t>
        </is>
      </c>
      <c r="H223" s="12" t="inlineStr">
        <is>
          <t>Programme muet : notion non mentionnée. Proche d'énoncés exclus : « La formule de Taylor-Lagrange est hors programme » ; « La formule de Taylor est hors programme » (polynômes).</t>
        </is>
      </c>
      <c r="I223" s="12" t="n">
        <v>34</v>
      </c>
      <c r="J223" s="12" t="inlineStr">
        <is>
          <t>Titre de l'ouvrage : « Reste intégral »</t>
        </is>
      </c>
      <c r="K223" s="14" t="n"/>
      <c r="L223" s="14" t="n"/>
    </row>
    <row r="224">
      <c r="A224" s="12" t="inlineStr">
        <is>
          <t>M223</t>
        </is>
      </c>
      <c r="B224" s="13" t="inlineStr">
        <is>
          <t>Orange – incertain</t>
        </is>
      </c>
      <c r="C224" s="12" t="inlineStr">
        <is>
          <t>BCPST1</t>
        </is>
      </c>
      <c r="D224" s="12" t="inlineStr">
        <is>
          <t>BCPST1 · Analyse 7 – Dérivation</t>
        </is>
      </c>
      <c r="E224" s="12" t="inlineStr">
        <is>
          <t>Définition</t>
        </is>
      </c>
      <c r="F224" s="13" t="inlineStr">
        <is>
          <t>Difféomorphisme – Définition</t>
        </is>
      </c>
      <c r="G224" s="12" t="inlineStr">
        <is>
          <t>$f:I\to J$ est un $\mathcal C^k$-difféomorphisme si $f$ est de classe $\mathcal C^k$, bijective, et $f^{-1}$ de classe $\mathcal C^k$.</t>
        </is>
      </c>
      <c r="H224" s="12" t="inlineStr">
        <is>
          <t>Programme muet : notion non mentionnée.</t>
        </is>
      </c>
      <c r="I224" s="12" t="n">
        <v>34</v>
      </c>
      <c r="J224" s="12" t="inlineStr"/>
      <c r="K224" s="14" t="n"/>
      <c r="L224" s="14" t="n"/>
    </row>
    <row r="225">
      <c r="A225" s="9" t="inlineStr">
        <is>
          <t>M224</t>
        </is>
      </c>
      <c r="B225" s="10" t="inlineStr">
        <is>
          <t>Noir – conforme</t>
        </is>
      </c>
      <c r="C225" s="9" t="inlineStr">
        <is>
          <t>BCPST1</t>
        </is>
      </c>
      <c r="D225" s="9" t="inlineStr">
        <is>
          <t>BCPST1 · Analyse 7 – Dérivation</t>
        </is>
      </c>
      <c r="E225" s="9" t="inlineStr">
        <is>
          <t>Théorème</t>
        </is>
      </c>
      <c r="F225" s="10" t="inlineStr">
        <is>
          <t>Dérivée et monotonie</t>
        </is>
      </c>
      <c r="G225" s="9" t="inlineStr">
        <is>
          <t>Sur un intervalle : $f$ croissante $\iff f'\ge0$ (décroissante $\iff f'\le0$) ; si $f'&gt;0$ (resp. $&lt;0$), $f$ est strictement croissante (resp. décroissante).</t>
        </is>
      </c>
      <c r="H225" s="9" t="inlineStr">
        <is>
          <t>« Caractérisation des fonctions croissantes (au sens large) par la positivité de leur dérivée … Cas des fonctions strictement croissantes. »</t>
        </is>
      </c>
      <c r="I225" s="9" t="n">
        <v>34</v>
      </c>
      <c r="J225" s="9" t="inlineStr"/>
      <c r="K225" s="11" t="n"/>
      <c r="L225" s="11" t="n"/>
    </row>
    <row r="226">
      <c r="A226" s="9" t="inlineStr">
        <is>
          <t>M225</t>
        </is>
      </c>
      <c r="B226" s="10" t="inlineStr">
        <is>
          <t>Noir – conforme</t>
        </is>
      </c>
      <c r="C226" s="9" t="inlineStr">
        <is>
          <t>BCPST1</t>
        </is>
      </c>
      <c r="D226" s="9" t="inlineStr">
        <is>
          <t>BCPST1 · Analyse 7 – Dérivation</t>
        </is>
      </c>
      <c r="E226" s="9" t="inlineStr">
        <is>
          <t>Définition</t>
        </is>
      </c>
      <c r="F226" s="10" t="inlineStr">
        <is>
          <t>Extremum local ou global – Définitions</t>
        </is>
      </c>
      <c r="G226" s="9" t="inlineStr">
        <is>
          <t>Maximum (minimum) local en $a$ : $f\le f(a)$ ($f\ge f(a)$) sur un voisinage de $a$. Global : sur tout $I$.</t>
        </is>
      </c>
      <c r="H226" s="9" t="inlineStr">
        <is>
          <t>« Recherche d'extrémums. »</t>
        </is>
      </c>
      <c r="I226" s="9" t="n">
        <v>35</v>
      </c>
      <c r="J226" s="9" t="inlineStr"/>
      <c r="K226" s="11" t="n"/>
      <c r="L226" s="11" t="n"/>
    </row>
    <row r="227">
      <c r="A227" s="9" t="inlineStr">
        <is>
          <t>M226</t>
        </is>
      </c>
      <c r="B227" s="10" t="inlineStr">
        <is>
          <t>Noir – conforme</t>
        </is>
      </c>
      <c r="C227" s="9" t="inlineStr">
        <is>
          <t>BCPST1</t>
        </is>
      </c>
      <c r="D227" s="9" t="inlineStr">
        <is>
          <t>BCPST1 · Analyse 7 – Dérivation</t>
        </is>
      </c>
      <c r="E227" s="9" t="inlineStr">
        <is>
          <t>Théorème</t>
        </is>
      </c>
      <c r="F227" s="10" t="inlineStr">
        <is>
          <t>Extremum local et dérivée</t>
        </is>
      </c>
      <c r="G227" s="9" t="inlineStr">
        <is>
          <t>Si $f$ est dérivable en un point $a$ intérieur à $I$ et y admet un extremum local, alors $f'(a)=0$ ; réciproque fausse.</t>
        </is>
      </c>
      <c r="H227" s="9" t="inlineStr">
        <is>
          <t>« Recherche d'extrémums. »</t>
        </is>
      </c>
      <c r="I227" s="9" t="n">
        <v>35</v>
      </c>
      <c r="J227" s="9" t="inlineStr"/>
      <c r="K227" s="11" t="n"/>
      <c r="L227" s="11" t="n"/>
    </row>
    <row r="228">
      <c r="A228" s="12" t="inlineStr">
        <is>
          <t>M227</t>
        </is>
      </c>
      <c r="B228" s="13" t="inlineStr">
        <is>
          <t>Orange – incertain</t>
        </is>
      </c>
      <c r="C228" s="12" t="inlineStr">
        <is>
          <t>BCPST1</t>
        </is>
      </c>
      <c r="D228" s="12" t="inlineStr">
        <is>
          <t>BCPST1 · Analyse 7 – Dérivation</t>
        </is>
      </c>
      <c r="E228" s="12" t="inlineStr">
        <is>
          <t>Définition</t>
        </is>
      </c>
      <c r="F228" s="13" t="inlineStr">
        <is>
          <t>Convexité – Définition</t>
        </is>
      </c>
      <c r="G228" s="12" t="inlineStr">
        <is>
          <t>Pour $f$ dérivable sur $I$ : $f$ est convexe ssi $f'$ est croissante ; sa courbe est alors au-dessus de ses tangentes.</t>
        </is>
      </c>
      <c r="H228" s="12" t="inlineStr">
        <is>
          <t>Programme muet : notion non mentionnée. (la convexité n'apparaît nulle part dans le programme de mathématiques)</t>
        </is>
      </c>
      <c r="I228" s="12" t="n">
        <v>35</v>
      </c>
      <c r="J228" s="12" t="inlineStr">
        <is>
          <t>L'ouvrage définit la convexité par $f'$ croissante (caractérisation, pas la définition générale)</t>
        </is>
      </c>
      <c r="K228" s="14" t="n"/>
      <c r="L228" s="14" t="n"/>
    </row>
    <row r="229">
      <c r="A229" s="9" t="inlineStr">
        <is>
          <t>M228</t>
        </is>
      </c>
      <c r="B229" s="10" t="inlineStr">
        <is>
          <t>Noir – conforme</t>
        </is>
      </c>
      <c r="C229" s="9" t="inlineStr">
        <is>
          <t>BCPST1</t>
        </is>
      </c>
      <c r="D229" s="9" t="inlineStr">
        <is>
          <t>BCPST1 · Analyse 7 – Dérivation</t>
        </is>
      </c>
      <c r="E229" s="9" t="inlineStr">
        <is>
          <t>Formulaire</t>
        </is>
      </c>
      <c r="F229" s="10" t="inlineStr">
        <is>
          <t>Primitive de 1/(t²+a²)</t>
        </is>
      </c>
      <c r="G229" s="9" t="inlineStr">
        <is>
          <t>Pour $a\neq0$ : $\int\frac{dt}{t^2+a^2}=\frac1a\arctan\frac ta+k$.</t>
        </is>
      </c>
      <c r="H229" s="9" t="inlineStr">
        <is>
          <t>« Dérivée de la fonction arctan » (et changement de variable t = a u).</t>
        </is>
      </c>
      <c r="I229" s="9" t="n">
        <v>99</v>
      </c>
      <c r="J229" s="9" t="inlineStr">
        <is>
          <t>Tableau d'annexe : intitulé créé par moi ; autres primitives placées dans une fiche séparée</t>
        </is>
      </c>
      <c r="K229" s="11" t="n"/>
      <c r="L229" s="11" t="n"/>
    </row>
    <row r="230">
      <c r="A230" s="12" t="inlineStr">
        <is>
          <t>M229</t>
        </is>
      </c>
      <c r="B230" s="13" t="inlineStr">
        <is>
          <t>Orange – incertain</t>
        </is>
      </c>
      <c r="C230" s="12" t="inlineStr">
        <is>
          <t>BCPST1</t>
        </is>
      </c>
      <c r="D230" s="12" t="inlineStr">
        <is>
          <t>BCPST1 · Analyse 8 – Intégration sur un segment</t>
        </is>
      </c>
      <c r="E230" s="12" t="inlineStr">
        <is>
          <t>Définition</t>
        </is>
      </c>
      <c r="F230" s="13" t="inlineStr">
        <is>
          <t>Application en escalier</t>
        </is>
      </c>
      <c r="G230" s="12" t="inlineStr">
        <is>
          <t>$f:[a,b]\to\mathbb R$ est en escalier s'il existe une subdivision $a=a_0&lt;\dots&lt;a_n=b$ telle que $f$ soit constante sur chaque $]a_i,a_{i+1}[$.</t>
        </is>
      </c>
      <c r="H230" s="12" t="inlineStr">
        <is>
          <t>Programme muet : notion non mentionnée. (l'intégrale est construite pour des fonctions continues)</t>
        </is>
      </c>
      <c r="I230" s="12" t="n">
        <v>25</v>
      </c>
      <c r="J230" s="12" t="inlineStr"/>
      <c r="K230" s="14" t="n"/>
      <c r="L230" s="14" t="n"/>
    </row>
    <row r="231">
      <c r="A231" s="9" t="inlineStr">
        <is>
          <t>M230</t>
        </is>
      </c>
      <c r="B231" s="10" t="inlineStr">
        <is>
          <t>Noir – conforme</t>
        </is>
      </c>
      <c r="C231" s="9" t="inlineStr">
        <is>
          <t>BCPST1</t>
        </is>
      </c>
      <c r="D231" s="9" t="inlineStr">
        <is>
          <t>BCPST1 · Analyse 8 – Intégration sur un segment</t>
        </is>
      </c>
      <c r="E231" s="9" t="inlineStr">
        <is>
          <t>Théorème</t>
        </is>
      </c>
      <c r="F231" s="10" t="inlineStr">
        <is>
          <t>Primitives d'une fonction continue sur un intervalle</t>
        </is>
      </c>
      <c r="G231" s="9" t="inlineStr">
        <is>
          <t>Une fonction continue sur un intervalle admet des primitives ; deux primitives diffèrent d'une constante.</t>
        </is>
      </c>
      <c r="H231" s="9" t="inlineStr">
        <is>
          <t>« si f est continue sur un intervalle I … F … est l'unique primitive de f sur I s'annulant en a. »</t>
        </is>
      </c>
      <c r="I231" s="9" t="n">
        <v>38</v>
      </c>
      <c r="J231" s="9" t="inlineStr"/>
      <c r="K231" s="11" t="n"/>
      <c r="L231" s="11" t="n"/>
    </row>
    <row r="232">
      <c r="A232" s="9" t="inlineStr">
        <is>
          <t>M231</t>
        </is>
      </c>
      <c r="B232" s="10" t="inlineStr">
        <is>
          <t>Noir – conforme</t>
        </is>
      </c>
      <c r="C232" s="9" t="inlineStr">
        <is>
          <t>BCPST1</t>
        </is>
      </c>
      <c r="D232" s="9" t="inlineStr">
        <is>
          <t>BCPST1 · Analyse 8 – Intégration sur un segment</t>
        </is>
      </c>
      <c r="E232" s="9" t="inlineStr">
        <is>
          <t>Définition</t>
        </is>
      </c>
      <c r="F232" s="10" t="inlineStr">
        <is>
          <t>Intégrale d'une fonction continue – Définition</t>
        </is>
      </c>
      <c r="G232" s="9" t="inlineStr">
        <is>
          <t>Si $F$ est une primitive de $f$ continue sur $[a,b]$ : $\int_a^bf(t)\,dt=F(b)-F(a)$.</t>
        </is>
      </c>
      <c r="H232" s="9" t="inlineStr">
        <is>
          <t>« si F est une primitive de f, pour tous a et b de I : ∫ₐᵇ f = F(b) − F(a). »</t>
        </is>
      </c>
      <c r="I232" s="9" t="n">
        <v>38</v>
      </c>
      <c r="J232" s="9" t="inlineStr"/>
      <c r="K232" s="11" t="n"/>
      <c r="L232" s="11" t="n"/>
    </row>
    <row r="233">
      <c r="A233" s="9" t="inlineStr">
        <is>
          <t>M232</t>
        </is>
      </c>
      <c r="B233" s="10" t="inlineStr">
        <is>
          <t>Noir – conforme</t>
        </is>
      </c>
      <c r="C233" s="9" t="inlineStr">
        <is>
          <t>BCPST1</t>
        </is>
      </c>
      <c r="D233" s="9" t="inlineStr">
        <is>
          <t>BCPST1 · Analyse 8 – Intégration sur un segment</t>
        </is>
      </c>
      <c r="E233" s="9" t="inlineStr">
        <is>
          <t>Propriété</t>
        </is>
      </c>
      <c r="F233" s="10" t="inlineStr">
        <is>
          <t>Intégrale d'une fonction continue – Interprétation</t>
        </is>
      </c>
      <c r="G233" s="9" t="inlineStr">
        <is>
          <t>Si $f\ge0$, $\int_a^bf$ ($a\le b$) est l'aire sous la courbe. Dans le cas général, c'est une aire algébrique : les parties sous l'axe comptent négativement.</t>
        </is>
      </c>
      <c r="H233" s="9" t="inlineStr">
        <is>
          <t>« Intégrale d'une fonction continue et positive … il s'agit de l'aire sous la courbe. Intégrale d'une fonction continue de signe quelconque. »</t>
        </is>
      </c>
      <c r="I233" s="9" t="n">
        <v>38</v>
      </c>
      <c r="J233" s="9" t="inlineStr">
        <is>
          <t>L'ouvrage dit « l'aire du domaine » pour $f$ de signe quelconque : c'est l'aire algébrique ; précisé ici</t>
        </is>
      </c>
      <c r="K233" s="11" t="n"/>
      <c r="L233" s="11" t="n"/>
    </row>
    <row r="234">
      <c r="A234" s="9" t="inlineStr">
        <is>
          <t>M233</t>
        </is>
      </c>
      <c r="B234" s="10" t="inlineStr">
        <is>
          <t>Noir – conforme</t>
        </is>
      </c>
      <c r="C234" s="9" t="inlineStr">
        <is>
          <t>BCPST1</t>
        </is>
      </c>
      <c r="D234" s="9" t="inlineStr">
        <is>
          <t>BCPST1 · Analyse 8 – Intégration sur un segment</t>
        </is>
      </c>
      <c r="E234" s="9" t="inlineStr">
        <is>
          <t>Propriété</t>
        </is>
      </c>
      <c r="F234" s="10" t="inlineStr">
        <is>
          <t>Propriétés élémentaires de l'intégrale</t>
        </is>
      </c>
      <c r="G234" s="9" t="inlineStr">
        <is>
          <t>$\int_b^a=-\int_a^b$ ; Chasles ; linéarité ; positivité (et si $f\ge0$ continue d'intégrale nulle, $f=0$) ; croissance ; $\left|\int_a^bf\right|\le\int_a^b|f|$ ($a\le b$).</t>
        </is>
      </c>
      <c r="H234" s="9" t="inlineStr">
        <is>
          <t>« Linéarité, relation de Chasles, positivité, stricte positivité, croissance … majoration |∫f| ≤ ∫|f|. »</t>
        </is>
      </c>
      <c r="I234" s="9" t="n">
        <v>38</v>
      </c>
      <c r="J234" s="9" t="inlineStr">
        <is>
          <t>L'ouvrage écrit « si $\exists c$, $f(c)\neq0$ alors $\int&gt;0$ » : vrai pour $f\ge0$ continue et $a&lt;b$</t>
        </is>
      </c>
      <c r="K234" s="11" t="n"/>
      <c r="L234" s="11" t="n"/>
    </row>
    <row r="235">
      <c r="A235" s="9" t="inlineStr">
        <is>
          <t>M234</t>
        </is>
      </c>
      <c r="B235" s="10" t="inlineStr">
        <is>
          <t>Noir – conforme</t>
        </is>
      </c>
      <c r="C235" s="9" t="inlineStr">
        <is>
          <t>BCPST1</t>
        </is>
      </c>
      <c r="D235" s="9" t="inlineStr">
        <is>
          <t>BCPST1 · Analyse 8 – Intégration sur un segment</t>
        </is>
      </c>
      <c r="E235" s="9" t="inlineStr">
        <is>
          <t>Théorème</t>
        </is>
      </c>
      <c r="F235" s="10" t="inlineStr">
        <is>
          <t>Primitives et intégrales d'une fonction continue</t>
        </is>
      </c>
      <c r="G235" s="9" t="inlineStr">
        <is>
          <t>Si $f$ est continue sur l'intervalle $I$ et $a\in I$, $x\mapsto\int_a^xf(t)\,dt$ est l'unique primitive de $f$ sur $I$ qui s'annule en $a$.</t>
        </is>
      </c>
      <c r="H235" s="9" t="inlineStr">
        <is>
          <t>« Théorème fondamental de l'Analyse » : F(x) = ∫ₐˣ f est l'unique primitive de f s'annulant en a.</t>
        </is>
      </c>
      <c r="I235" s="9" t="n">
        <v>39</v>
      </c>
      <c r="J235" s="9" t="inlineStr"/>
      <c r="K235" s="11" t="n"/>
      <c r="L235" s="11" t="n"/>
    </row>
    <row r="236">
      <c r="A236" s="9" t="inlineStr">
        <is>
          <t>M235</t>
        </is>
      </c>
      <c r="B236" s="10" t="inlineStr">
        <is>
          <t>Noir – conforme</t>
        </is>
      </c>
      <c r="C236" s="9" t="inlineStr">
        <is>
          <t>BCPST1</t>
        </is>
      </c>
      <c r="D236" s="9" t="inlineStr">
        <is>
          <t>BCPST1 · Analyse 8 – Intégration sur un segment</t>
        </is>
      </c>
      <c r="E236" s="9" t="inlineStr">
        <is>
          <t>Théorème</t>
        </is>
      </c>
      <c r="F236" s="10" t="inlineStr">
        <is>
          <t>Sommes de Riemann (« Théorème de la valeur moyenne »)</t>
        </is>
      </c>
      <c r="G236" s="9" t="inlineStr">
        <is>
          <t>Si $f$ est continue sur $[a,b]$ : $\dfrac1{b-a}\int_a^bf(t)\,dt=\lim_{n\to\infty}\dfrac1n\sum_{k=0}^{n-1}f\!\left(a+k\frac{b-a}n\right)$.</t>
        </is>
      </c>
      <c r="H236" s="9" t="inlineStr">
        <is>
          <t>« Sommes de Riemann sur [a,b] … on admettra la convergence … dans le cas C⁰. » ; « Valeur moyenne d'une fonction continue sur un segment ».</t>
        </is>
      </c>
      <c r="I236" s="9" t="n">
        <v>39</v>
      </c>
      <c r="J236" s="9" t="inlineStr">
        <is>
          <t>Titre de l'ouvrage : « Théorème de la valeur moyenne » ; le contenu est la convergence des sommes de Riemann</t>
        </is>
      </c>
      <c r="K236" s="11" t="n"/>
      <c r="L236" s="11" t="n"/>
    </row>
    <row r="237">
      <c r="A237" s="12" t="inlineStr">
        <is>
          <t>M236</t>
        </is>
      </c>
      <c r="B237" s="13" t="inlineStr">
        <is>
          <t>Orange – incertain</t>
        </is>
      </c>
      <c r="C237" s="12" t="inlineStr">
        <is>
          <t>BCPST1</t>
        </is>
      </c>
      <c r="D237" s="12" t="inlineStr">
        <is>
          <t>BCPST1 · Analyse 8 – Intégration sur un segment</t>
        </is>
      </c>
      <c r="E237" s="12" t="inlineStr">
        <is>
          <t>Définition</t>
        </is>
      </c>
      <c r="F237" s="13" t="inlineStr">
        <is>
          <t>Intégrale d'une fonction continue par morceaux – Définition</t>
        </is>
      </c>
      <c r="G237" s="12" t="inlineStr">
        <is>
          <t>$f$ est continue par morceaux sur $[a,b]$ s'il existe une subdivision telle que $f$ soit continue sur chaque $]x_i,x_{i+1}[$ avec des limites finies aux bornes ; $\int_a^bf=\sum_i\int_{x_i}^{x_{i+1}}\varphi_i$ ($\varphi_i$ : prolongement continu sur $[x_i,x_{i+1}]$).</t>
        </is>
      </c>
      <c r="H237" s="12" t="inlineStr">
        <is>
          <t>Non mentionné en BCPST1 (fonctions continues) ; en BCPST2 les intégrales généralisées portent sur des fonctions « continues sauf éventuellement en un nombre fini de points ».</t>
        </is>
      </c>
      <c r="I237" s="12" t="n">
        <v>39</v>
      </c>
      <c r="J237" s="12" t="inlineStr"/>
      <c r="K237" s="14" t="n"/>
      <c r="L237" s="14" t="n"/>
    </row>
    <row r="238">
      <c r="A238" s="12" t="inlineStr">
        <is>
          <t>M237</t>
        </is>
      </c>
      <c r="B238" s="13" t="inlineStr">
        <is>
          <t>Orange – incertain</t>
        </is>
      </c>
      <c r="C238" s="12" t="inlineStr">
        <is>
          <t>BCPST1</t>
        </is>
      </c>
      <c r="D238" s="12" t="inlineStr">
        <is>
          <t>BCPST1 · Analyse 8 – Intégration sur un segment</t>
        </is>
      </c>
      <c r="E238" s="12" t="inlineStr">
        <is>
          <t>Propriété</t>
        </is>
      </c>
      <c r="F238" s="13" t="inlineStr">
        <is>
          <t>Intégrale d'une fonction continue par morceaux (modification en un nombre fini de points)</t>
        </is>
      </c>
      <c r="G238" s="12" t="inlineStr">
        <is>
          <t>Si $f=g$ sur $[a,b]$ sauf en un nombre fini de points, alors $\int_a^bf=\int_a^bg$.</t>
        </is>
      </c>
      <c r="H238" s="12" t="inlineStr">
        <is>
          <t>Programme muet : notion non mentionnée.</t>
        </is>
      </c>
      <c r="I238" s="12" t="n">
        <v>39</v>
      </c>
      <c r="J238" s="12" t="inlineStr"/>
      <c r="K238" s="14" t="n"/>
      <c r="L238" s="14" t="n"/>
    </row>
    <row r="239">
      <c r="A239" s="9" t="inlineStr">
        <is>
          <t>M238</t>
        </is>
      </c>
      <c r="B239" s="10" t="inlineStr">
        <is>
          <t>Noir – conforme</t>
        </is>
      </c>
      <c r="C239" s="9" t="inlineStr">
        <is>
          <t>BCPST1</t>
        </is>
      </c>
      <c r="D239" s="9" t="inlineStr">
        <is>
          <t>BCPST1 · Analyse 8 – Intégration sur un segment</t>
        </is>
      </c>
      <c r="E239" s="9" t="inlineStr">
        <is>
          <t>Théorème</t>
        </is>
      </c>
      <c r="F239" s="10" t="inlineStr">
        <is>
          <t>Intégration par parties</t>
        </is>
      </c>
      <c r="G239" s="9" t="inlineStr">
        <is>
          <t>Pour $u,v$ de classe $\mathcal C^1$ sur $[a,b]$ : $\int_a^bu\,v'=\big[uv\big]_a^b-\int_a^bu'v$.</t>
        </is>
      </c>
      <c r="H239" s="9" t="inlineStr">
        <is>
          <t>« Intégration par parties. »</t>
        </is>
      </c>
      <c r="I239" s="9" t="n">
        <v>40</v>
      </c>
      <c r="J239" s="9" t="inlineStr"/>
      <c r="K239" s="11" t="n"/>
      <c r="L239" s="11" t="n"/>
    </row>
    <row r="240">
      <c r="A240" s="9" t="inlineStr">
        <is>
          <t>M239</t>
        </is>
      </c>
      <c r="B240" s="10" t="inlineStr">
        <is>
          <t>Noir – conforme</t>
        </is>
      </c>
      <c r="C240" s="9" t="inlineStr">
        <is>
          <t>BCPST1</t>
        </is>
      </c>
      <c r="D240" s="9" t="inlineStr">
        <is>
          <t>BCPST1 · Analyse 8 – Intégration sur un segment</t>
        </is>
      </c>
      <c r="E240" s="9" t="inlineStr">
        <is>
          <t>Théorème</t>
        </is>
      </c>
      <c r="F240" s="10" t="inlineStr">
        <is>
          <t>Intégration par changement de variable</t>
        </is>
      </c>
      <c r="G240" s="9" t="inlineStr">
        <is>
          <t>Si $\varphi$ est $\mathcal C^1$ sur $[\alpha,\beta]$ et $f$ continue sur un intervalle contenant $\varphi([\alpha,\beta])$ : $\int_\alpha^\beta f(\varphi(x))\varphi'(x)\,dx=\int_{\varphi(\alpha)}^{\varphi(\beta)}f(t)\,dt$.</t>
        </is>
      </c>
      <c r="H240" s="9" t="inlineStr">
        <is>
          <t>« Changement de variable. » (« sauf dans les cas simples, le changement de variable sera donné »)</t>
        </is>
      </c>
      <c r="I240" s="9" t="n">
        <v>40</v>
      </c>
      <c r="J240" s="9" t="inlineStr"/>
      <c r="K240" s="11" t="n"/>
      <c r="L240" s="11" t="n"/>
    </row>
    <row r="241">
      <c r="A241" s="12" t="inlineStr">
        <is>
          <t>M240</t>
        </is>
      </c>
      <c r="B241" s="13" t="inlineStr">
        <is>
          <t>Orange – incertain</t>
        </is>
      </c>
      <c r="C241" s="12" t="inlineStr">
        <is>
          <t>BCPST1</t>
        </is>
      </c>
      <c r="D241" s="12" t="inlineStr">
        <is>
          <t>BCPST1 · Analyse 9 – Développements limités</t>
        </is>
      </c>
      <c r="E241" s="12" t="inlineStr">
        <is>
          <t>Propriété</t>
        </is>
      </c>
      <c r="F241" s="13" t="inlineStr">
        <is>
          <t>Équivalents usuels</t>
        </is>
      </c>
      <c r="G241" s="12" t="inlineStr">
        <is>
          <t>Si $x_n\to0$ : $\ln(1+x_n)\sim x_n$ ; $e^{x_n}-1\sim x_n$ ; $(1+x_n)^\alpha-1\sim\alpha x_n$ ($\alpha\neq0$) ; $\sin x_n\sim x_n$ ; $\cos x_n-1\sim-\frac{x_n^2}2$ ; $\tan x_n\sim x_n$.</t>
        </is>
      </c>
      <c r="H241" s="12" t="inlineStr">
        <is>
          <t>Non listés comme tels ; ils découlent des DL usuels du programme (exp, cos, sin, ln(1+x), (1+x)^α), sauf tan, dont le DL n'y figure pas.</t>
        </is>
      </c>
      <c r="I241" s="12" t="n">
        <v>24</v>
      </c>
      <c r="J241" s="12" t="inlineStr"/>
      <c r="K241" s="14" t="n"/>
      <c r="L241" s="14" t="n"/>
    </row>
    <row r="242">
      <c r="A242" s="12" t="inlineStr">
        <is>
          <t>M241</t>
        </is>
      </c>
      <c r="B242" s="13" t="inlineStr">
        <is>
          <t>Orange – incertain</t>
        </is>
      </c>
      <c r="C242" s="12" t="inlineStr">
        <is>
          <t>BCPST1</t>
        </is>
      </c>
      <c r="D242" s="12" t="inlineStr">
        <is>
          <t>BCPST1 · Analyse 9 – Développements limités</t>
        </is>
      </c>
      <c r="E242" s="12" t="inlineStr">
        <is>
          <t>Définition</t>
        </is>
      </c>
      <c r="F242" s="13" t="inlineStr">
        <is>
          <t>Fonctions négligeables – Définition</t>
        </is>
      </c>
      <c r="G242" s="12" t="inlineStr">
        <is>
          <t>$f=o_a(g)$ s'il existe $\varepsilon$ de limite nulle en $a$ telle que $f=\varepsilon g$ au voisinage de $a$.</t>
        </is>
      </c>
      <c r="H242" s="12" t="inlineStr">
        <is>
          <t>Seule la notation o(xⁿ) (négligeable devant xⁿ) est au programme ; la notion générale f = o(g) n'est pas définie.</t>
        </is>
      </c>
      <c r="I242" s="12" t="n">
        <v>28</v>
      </c>
      <c r="J242" s="12" t="inlineStr"/>
      <c r="K242" s="14" t="n"/>
      <c r="L242" s="14" t="n"/>
    </row>
    <row r="243">
      <c r="A243" s="12" t="inlineStr">
        <is>
          <t>M242</t>
        </is>
      </c>
      <c r="B243" s="13" t="inlineStr">
        <is>
          <t>Orange – incertain</t>
        </is>
      </c>
      <c r="C243" s="12" t="inlineStr">
        <is>
          <t>BCPST1</t>
        </is>
      </c>
      <c r="D243" s="12" t="inlineStr">
        <is>
          <t>BCPST1 · Analyse 9 – Développements limités</t>
        </is>
      </c>
      <c r="E243" s="12" t="inlineStr">
        <is>
          <t>Propriété</t>
        </is>
      </c>
      <c r="F243" s="13" t="inlineStr">
        <is>
          <t>Équivalents usuels (fonctions)</t>
        </is>
      </c>
      <c r="G243" s="12" t="inlineStr">
        <is>
          <t>En 0 : $\ln(1+x)\sim x$ ; $e^x-1\sim x$ ; $(1+x)^\beta-1\sim\beta x$ ; $\sin x\sim x$ ; $\cos x-1\sim-\frac{x^2}2$ ; $\tan x\sim x$.</t>
        </is>
      </c>
      <c r="H243" s="12" t="inlineStr">
        <is>
          <t>Non listés comme tels ; découlent des DL usuels (exp, cos, sin, ln(1+x), (1+x)^α) ; tan n'y figure pas.</t>
        </is>
      </c>
      <c r="I243" s="12" t="n">
        <v>29</v>
      </c>
      <c r="J243" s="12" t="inlineStr"/>
      <c r="K243" s="14" t="n"/>
      <c r="L243" s="14" t="n"/>
    </row>
    <row r="244">
      <c r="A244" s="9" t="inlineStr">
        <is>
          <t>M243</t>
        </is>
      </c>
      <c r="B244" s="10" t="inlineStr">
        <is>
          <t>Noir – conforme</t>
        </is>
      </c>
      <c r="C244" s="9" t="inlineStr">
        <is>
          <t>BCPST1</t>
        </is>
      </c>
      <c r="D244" s="9" t="inlineStr">
        <is>
          <t>BCPST1 · Analyse 9 – Développements limités</t>
        </is>
      </c>
      <c r="E244" s="9" t="inlineStr">
        <is>
          <t>Théorème</t>
        </is>
      </c>
      <c r="F244" s="10" t="inlineStr">
        <is>
          <t>Formule de Taylor-Young</t>
        </is>
      </c>
      <c r="G244" s="9" t="inlineStr">
        <is>
          <t>Si $f$ est $\mathcal C^n$ au voisinage de $a$ : $f(x)=\sum_{k=0}^n\frac{f^{(k)}(a)}{k!}(x-a)^k+o\big((x-a)^n\big)$.</t>
        </is>
      </c>
      <c r="H244" s="9" t="inlineStr">
        <is>
          <t>« Formule de Taylor-Young : existence d'un développement limité à l'ordre n pour une fonction de classe Cⁿ. … admise. »</t>
        </is>
      </c>
      <c r="I244" s="9" t="n">
        <v>34</v>
      </c>
      <c r="J244" s="9" t="inlineStr"/>
      <c r="K244" s="11" t="n"/>
      <c r="L244" s="11" t="n"/>
    </row>
    <row r="245">
      <c r="A245" s="12" t="inlineStr">
        <is>
          <t>M244</t>
        </is>
      </c>
      <c r="B245" s="13" t="inlineStr">
        <is>
          <t>Orange – incertain</t>
        </is>
      </c>
      <c r="C245" s="12" t="inlineStr">
        <is>
          <t>BCPST1</t>
        </is>
      </c>
      <c r="D245" s="12" t="inlineStr">
        <is>
          <t>BCPST1 · Analyse 9 – Développements limités</t>
        </is>
      </c>
      <c r="E245" s="12" t="inlineStr">
        <is>
          <t>Théorème</t>
        </is>
      </c>
      <c r="F245" s="13" t="inlineStr">
        <is>
          <t>Théorème sur la limite de la dérivée</t>
        </is>
      </c>
      <c r="G245" s="12" t="inlineStr">
        <is>
          <t>Si $f$ est continue sur $I$, dérivable sur $I\setminus\{a\}$ et $f'(x)\to l$ en $a$ : si $l$ est finie, $f$ est dérivable en $a$ et $f'(a)=l$ ; si $l$ est infinie, $f$ n'est pas dérivable en $a$ (tangente verticale).</t>
        </is>
      </c>
      <c r="H245" s="12" t="inlineStr">
        <is>
          <t>Énoncé non cité ; le programme mentionne seulement « dérivabilité d'un prolongement par continuité » (étude locale).</t>
        </is>
      </c>
      <c r="I245" s="12" t="n">
        <v>34</v>
      </c>
      <c r="J245" s="12" t="inlineStr"/>
      <c r="K245" s="14" t="n"/>
      <c r="L245" s="14" t="n"/>
    </row>
    <row r="246">
      <c r="A246" s="12" t="inlineStr">
        <is>
          <t>M245</t>
        </is>
      </c>
      <c r="B246" s="13" t="inlineStr">
        <is>
          <t>Orange – incertain</t>
        </is>
      </c>
      <c r="C246" s="12" t="inlineStr">
        <is>
          <t>BCPST1</t>
        </is>
      </c>
      <c r="D246" s="12" t="inlineStr">
        <is>
          <t>BCPST1 · Analyse 9 – Développements limités</t>
        </is>
      </c>
      <c r="E246" s="12" t="inlineStr">
        <is>
          <t>Théorème</t>
        </is>
      </c>
      <c r="F246" s="13" t="inlineStr">
        <is>
          <t>Théorème de prolongement des fonctions de classe C¹</t>
        </is>
      </c>
      <c r="G246" s="12" t="inlineStr">
        <is>
          <t>Si $f$ est continue sur $I$, de classe $\mathcal C^1$ sur $I\setminus\{a\}$ et si $f'(x)$ a une limite finie $l$ en $a$, alors $f$ est $\mathcal C^1$ sur $I$ et $f'(a)=l$.</t>
        </is>
      </c>
      <c r="H246" s="12" t="inlineStr">
        <is>
          <t>Énoncé non cité ; le programme mentionne seulement « dérivabilité d'un prolongement par continuité ».</t>
        </is>
      </c>
      <c r="I246" s="12" t="n">
        <v>35</v>
      </c>
      <c r="J246" s="12" t="inlineStr"/>
      <c r="K246" s="14" t="n"/>
      <c r="L246" s="14" t="n"/>
    </row>
    <row r="247">
      <c r="A247" s="9" t="inlineStr">
        <is>
          <t>M246</t>
        </is>
      </c>
      <c r="B247" s="10" t="inlineStr">
        <is>
          <t>Noir – conforme</t>
        </is>
      </c>
      <c r="C247" s="9" t="inlineStr">
        <is>
          <t>BCPST1</t>
        </is>
      </c>
      <c r="D247" s="9" t="inlineStr">
        <is>
          <t>BCPST1 · Analyse 9 – Développements limités</t>
        </is>
      </c>
      <c r="E247" s="9" t="inlineStr">
        <is>
          <t>Définition</t>
        </is>
      </c>
      <c r="F247" s="10" t="inlineStr">
        <is>
          <t>Développement limité – Définition</t>
        </is>
      </c>
      <c r="G247" s="9" t="inlineStr">
        <is>
          <t>$f$ admet un $DL_n(a)$ s'il existe $a_0,\dots,a_n$ tels que $f(x)=\sum_{k=0}^na_k(x-a)^k+o\big((x-a)^n\big)$ ; ce polynôme est la partie régulière.</t>
        </is>
      </c>
      <c r="H247" s="9" t="inlineStr">
        <is>
          <t>« Définition des développements limités en 0. Les problèmes de DL en un réel non nul ou en ±∞ sont ramenés en 0. »</t>
        </is>
      </c>
      <c r="I247" s="9" t="n">
        <v>35</v>
      </c>
      <c r="J247" s="9" t="inlineStr"/>
      <c r="K247" s="11" t="n"/>
      <c r="L247" s="11" t="n"/>
    </row>
    <row r="248">
      <c r="A248" s="9" t="inlineStr">
        <is>
          <t>M247</t>
        </is>
      </c>
      <c r="B248" s="10" t="inlineStr">
        <is>
          <t>Noir – conforme</t>
        </is>
      </c>
      <c r="C248" s="9" t="inlineStr">
        <is>
          <t>BCPST1</t>
        </is>
      </c>
      <c r="D248" s="9" t="inlineStr">
        <is>
          <t>BCPST1 · Analyse 9 – Développements limités</t>
        </is>
      </c>
      <c r="E248" s="9" t="inlineStr">
        <is>
          <t>Définition</t>
        </is>
      </c>
      <c r="F248" s="10" t="inlineStr">
        <is>
          <t>Développement limité en ±∞ – Définition</t>
        </is>
      </c>
      <c r="G248" s="9" t="inlineStr">
        <is>
          <t>$f$ admet un $DL_n(+\infty)$ si $g(h)=f(1/h)$ admet un $DL_n(0^+)$ ; alors $f(x)=\sum_{k=0}^n\frac{a_k}{x^k}+o\left(\frac1{x^n}\right)$.</t>
        </is>
      </c>
      <c r="H248" s="9" t="inlineStr">
        <is>
          <t>« Les problèmes de développement limité … en ±∞ sont ramenés en 0. »</t>
        </is>
      </c>
      <c r="I248" s="9" t="n">
        <v>36</v>
      </c>
      <c r="J248" s="9" t="inlineStr"/>
      <c r="K248" s="11" t="n"/>
      <c r="L248" s="11" t="n"/>
    </row>
    <row r="249">
      <c r="A249" s="9" t="inlineStr">
        <is>
          <t>M248</t>
        </is>
      </c>
      <c r="B249" s="10" t="inlineStr">
        <is>
          <t>Noir – conforme</t>
        </is>
      </c>
      <c r="C249" s="9" t="inlineStr">
        <is>
          <t>BCPST1</t>
        </is>
      </c>
      <c r="D249" s="9" t="inlineStr">
        <is>
          <t>BCPST1 · Analyse 9 – Développements limités</t>
        </is>
      </c>
      <c r="E249" s="9" t="inlineStr">
        <is>
          <t>Théorème</t>
        </is>
      </c>
      <c r="F249" s="10" t="inlineStr">
        <is>
          <t>Unicité de la partie régulière</t>
        </is>
      </c>
      <c r="G249" s="9" t="inlineStr">
        <is>
          <t>Si $f$ admet un $DL_n(a)$, sa partie régulière est unique.</t>
        </is>
      </c>
      <c r="H249" s="9" t="inlineStr">
        <is>
          <t>« Unicité des coefficients d'un développement limité. »</t>
        </is>
      </c>
      <c r="I249" s="9" t="n">
        <v>36</v>
      </c>
      <c r="J249" s="9" t="inlineStr"/>
      <c r="K249" s="11" t="n"/>
      <c r="L249" s="11" t="n"/>
    </row>
    <row r="250">
      <c r="A250" s="12" t="inlineStr">
        <is>
          <t>M249</t>
        </is>
      </c>
      <c r="B250" s="13" t="inlineStr">
        <is>
          <t>Orange – incertain</t>
        </is>
      </c>
      <c r="C250" s="12" t="inlineStr">
        <is>
          <t>BCPST1</t>
        </is>
      </c>
      <c r="D250" s="12" t="inlineStr">
        <is>
          <t>BCPST1 · Analyse 9 – Développements limités</t>
        </is>
      </c>
      <c r="E250" s="12" t="inlineStr">
        <is>
          <t>Définition</t>
        </is>
      </c>
      <c r="F250" s="13" t="inlineStr">
        <is>
          <t>Opérateur de troncature – Définition</t>
        </is>
      </c>
      <c r="G250" s="12" t="inlineStr">
        <is>
          <t>$T_p(P)$ : polynôme formé des termes de $P$ de degré $\le p$.</t>
        </is>
      </c>
      <c r="H250" s="12" t="inlineStr">
        <is>
          <t>Programme muet : notion non mentionnée. (notation T_p non utilisée)</t>
        </is>
      </c>
      <c r="I250" s="12" t="n">
        <v>36</v>
      </c>
      <c r="J250" s="12" t="inlineStr"/>
      <c r="K250" s="14" t="n"/>
      <c r="L250" s="14" t="n"/>
    </row>
    <row r="251">
      <c r="A251" s="12" t="inlineStr">
        <is>
          <t>M250</t>
        </is>
      </c>
      <c r="B251" s="13" t="inlineStr">
        <is>
          <t>Orange – incertain</t>
        </is>
      </c>
      <c r="C251" s="12" t="inlineStr">
        <is>
          <t>BCPST1</t>
        </is>
      </c>
      <c r="D251" s="12" t="inlineStr">
        <is>
          <t>BCPST1 · Analyse 9 – Développements limités</t>
        </is>
      </c>
      <c r="E251" s="12" t="inlineStr">
        <is>
          <t>Propriété</t>
        </is>
      </c>
      <c r="F251" s="13" t="inlineStr">
        <is>
          <t>Développement limité – Troncature</t>
        </is>
      </c>
      <c r="G251" s="12" t="inlineStr">
        <is>
          <t>Si $f$ admet un $DL_n(a)$ de partie régulière $P_n$, elle admet pour $p\le n$ un $DL_p(a)$ de partie régulière $T_p(P_n)$.</t>
        </is>
      </c>
      <c r="H251" s="12" t="inlineStr">
        <is>
          <t>Programme muet : notion non mentionnée.</t>
        </is>
      </c>
      <c r="I251" s="12" t="n">
        <v>36</v>
      </c>
      <c r="J251" s="12" t="inlineStr"/>
      <c r="K251" s="14" t="n"/>
      <c r="L251" s="14" t="n"/>
    </row>
    <row r="252">
      <c r="A252" s="9" t="inlineStr">
        <is>
          <t>M251</t>
        </is>
      </c>
      <c r="B252" s="10" t="inlineStr">
        <is>
          <t>Noir – conforme</t>
        </is>
      </c>
      <c r="C252" s="9" t="inlineStr">
        <is>
          <t>BCPST1</t>
        </is>
      </c>
      <c r="D252" s="9" t="inlineStr">
        <is>
          <t>BCPST1 · Analyse 9 – Développements limités</t>
        </is>
      </c>
      <c r="E252" s="9" t="inlineStr">
        <is>
          <t>Propriété</t>
        </is>
      </c>
      <c r="F252" s="10" t="inlineStr">
        <is>
          <t>Développement limité et régularité</t>
        </is>
      </c>
      <c r="G252" s="9" t="inlineStr">
        <is>
          <t>$f$ continue en $a\iff f$ admet un $DL_0(a)$ ; $f$ dérivable en $a\iff f$ admet un $DL_1(a)$, dont la partie régulière donne la tangente. Un DL d'ordre $\ge2$ donne la position locale de la courbe par rapport à la tangente. Faux pour les ordres supérieurs.</t>
        </is>
      </c>
      <c r="H252" s="9" t="inlineStr">
        <is>
          <t>« Étude locale d'une fonction : prolongement par continuité, dérivabilité d'un prolongement par continuité, tangente, position relative de la courbe et de la tangente. »</t>
        </is>
      </c>
      <c r="I252" s="9" t="n">
        <v>36</v>
      </c>
      <c r="J252" s="9" t="inlineStr"/>
      <c r="K252" s="11" t="n"/>
      <c r="L252" s="11" t="n"/>
    </row>
    <row r="253">
      <c r="A253" s="9" t="inlineStr">
        <is>
          <t>M252</t>
        </is>
      </c>
      <c r="B253" s="10" t="inlineStr">
        <is>
          <t>Noir – conforme</t>
        </is>
      </c>
      <c r="C253" s="9" t="inlineStr">
        <is>
          <t>BCPST1</t>
        </is>
      </c>
      <c r="D253" s="9" t="inlineStr">
        <is>
          <t>BCPST1 · Analyse 9 – Développements limités</t>
        </is>
      </c>
      <c r="E253" s="9" t="inlineStr">
        <is>
          <t>Propriété</t>
        </is>
      </c>
      <c r="F253" s="10" t="inlineStr">
        <is>
          <t>Lien entre DLn(a) et DLn(0)</t>
        </is>
      </c>
      <c r="G253" s="9" t="inlineStr">
        <is>
          <t>$f$ admet un $DL_n(a)$ ssi $g(h)=f(a+h)$ admet un $DL_n(0)$ (pour $a=\pm\infty$ : $g(h)=f(1/h)$), avec $P_n(x)=Q_n(x-a)$.</t>
        </is>
      </c>
      <c r="H253" s="9" t="inlineStr">
        <is>
          <t>« Les problèmes de DL en un réel non nul ou en ±∞ sont ramenés en 0. »</t>
        </is>
      </c>
      <c r="I253" s="9" t="n">
        <v>37</v>
      </c>
      <c r="J253" s="9" t="inlineStr"/>
      <c r="K253" s="11" t="n"/>
      <c r="L253" s="11" t="n"/>
    </row>
    <row r="254">
      <c r="A254" s="9" t="inlineStr">
        <is>
          <t>M253</t>
        </is>
      </c>
      <c r="B254" s="10" t="inlineStr">
        <is>
          <t>Noir – conforme</t>
        </is>
      </c>
      <c r="C254" s="9" t="inlineStr">
        <is>
          <t>BCPST1</t>
        </is>
      </c>
      <c r="D254" s="9" t="inlineStr">
        <is>
          <t>BCPST1 · Analyse 9 – Développements limités</t>
        </is>
      </c>
      <c r="E254" s="9" t="inlineStr">
        <is>
          <t>Propriété</t>
        </is>
      </c>
      <c r="F254" s="10" t="inlineStr">
        <is>
          <t>Opérations sur les développements limités</t>
        </is>
      </c>
      <c r="G254" s="9" t="inlineStr">
        <is>
          <t>$DL_n(a)$ de $f+g$ : $P_n+Q_n$ ; de $fg$ : $T_n(P_nQ_n)$ ; de $\lambda f$ : $\lambda P_n$.</t>
        </is>
      </c>
      <c r="H254" s="9" t="inlineStr">
        <is>
          <t>« Opérations sur les développements limités : somme, produit. »</t>
        </is>
      </c>
      <c r="I254" s="9" t="n">
        <v>37</v>
      </c>
      <c r="J254" s="9" t="inlineStr"/>
      <c r="K254" s="11" t="n"/>
      <c r="L254" s="11" t="n"/>
    </row>
    <row r="255">
      <c r="A255" s="9" t="inlineStr">
        <is>
          <t>M254</t>
        </is>
      </c>
      <c r="B255" s="10" t="inlineStr">
        <is>
          <t>Noir – conforme</t>
        </is>
      </c>
      <c r="C255" s="9" t="inlineStr">
        <is>
          <t>BCPST1</t>
        </is>
      </c>
      <c r="D255" s="9" t="inlineStr">
        <is>
          <t>BCPST1 · Analyse 9 – Développements limités</t>
        </is>
      </c>
      <c r="E255" s="9" t="inlineStr">
        <is>
          <t>Propriété</t>
        </is>
      </c>
      <c r="F255" s="10" t="inlineStr">
        <is>
          <t>Composition de développements limités</t>
        </is>
      </c>
      <c r="G255" s="9" t="inlineStr">
        <is>
          <t>Si $f$ admet un $DL_n(a)$ de partie régulière $P_n$ et $g$ un $DL_n(f(a))$ de partie régulière $Q_n$, alors $g\circ f$ admet un $DL_n(a)$ de partie régulière $T_n(Q_n\circ P_n)$.</t>
        </is>
      </c>
      <c r="H255" s="9" t="inlineStr">
        <is>
          <t>« L'obtention d'un DL pour une fonction composée est présentée et mise en œuvre sur des exemples simples. »</t>
        </is>
      </c>
      <c r="I255" s="9" t="n">
        <v>37</v>
      </c>
      <c r="J255" s="9" t="inlineStr">
        <is>
          <t>Cadre présent deux fois dans l'ouvrage (doublon)</t>
        </is>
      </c>
      <c r="K255" s="11" t="n"/>
      <c r="L255" s="11" t="n"/>
    </row>
    <row r="256">
      <c r="A256" s="9" t="inlineStr">
        <is>
          <t>M255</t>
        </is>
      </c>
      <c r="B256" s="10" t="inlineStr">
        <is>
          <t>Noir – conforme</t>
        </is>
      </c>
      <c r="C256" s="9" t="inlineStr">
        <is>
          <t>BCPST1</t>
        </is>
      </c>
      <c r="D256" s="9" t="inlineStr">
        <is>
          <t>BCPST1 · Analyse 9 – Développements limités</t>
        </is>
      </c>
      <c r="E256" s="9" t="inlineStr">
        <is>
          <t>Théorème</t>
        </is>
      </c>
      <c r="F256" s="10" t="inlineStr">
        <is>
          <t>Développement limité de f à partir de celui de sa dérivée</t>
        </is>
      </c>
      <c r="G256" s="9" t="inlineStr">
        <is>
          <t>Si $f$ est $\mathcal C^1$ et $f'(x)=\sum_{k=0}^na_k(x-a)^k+o((x-a)^n)$, alors $f(x)=f(a)+\sum_{k=0}^n\frac{a_k}{k+1}(x-a)^{k+1}+o((x-a)^{n+1})$ (primitivation d'un DL).</t>
        </is>
      </c>
      <c r="H256" s="9" t="inlineStr">
        <is>
          <t>« Primitivation d'un développement limité. »</t>
        </is>
      </c>
      <c r="I256" s="9" t="n">
        <v>37</v>
      </c>
      <c r="J256" s="9" t="inlineStr"/>
      <c r="K256" s="11" t="n"/>
      <c r="L256" s="11" t="n"/>
    </row>
    <row r="257">
      <c r="A257" s="9" t="inlineStr">
        <is>
          <t>M256</t>
        </is>
      </c>
      <c r="B257" s="10" t="inlineStr">
        <is>
          <t>Noir – conforme</t>
        </is>
      </c>
      <c r="C257" s="9" t="inlineStr">
        <is>
          <t>BCPST1</t>
        </is>
      </c>
      <c r="D257" s="9" t="inlineStr">
        <is>
          <t>BCPST1 · Analyse 9 – Développements limités</t>
        </is>
      </c>
      <c r="E257" s="9" t="inlineStr">
        <is>
          <t>Méthode</t>
        </is>
      </c>
      <c r="F257" s="10" t="inlineStr">
        <is>
          <t>Asymptote oblique</t>
        </is>
      </c>
      <c r="G257" s="9" t="inlineStr">
        <is>
          <t>Si $f\to\pm\infty$, $\frac{f(x)}x\to a\neq0$ et $f(x)-ax\to b$ en $+\infty$, la droite $y=ax+b$ est asymptote oblique. Un DL en $\pm\infty$ donne l'asymptote et la position de la courbe.</t>
        </is>
      </c>
      <c r="H257" s="9" t="inlineStr">
        <is>
          <t>A2 : « Les notions de … asymptotes obliques seront étudiées » ; A9 : étude locale par DL.</t>
        </is>
      </c>
      <c r="I257" s="9" t="n">
        <v>51</v>
      </c>
      <c r="J257" s="9" t="inlineStr">
        <is>
          <t>Coquille dans l'ouvrage (« asymptote horizontale » au lieu d'oblique)</t>
        </is>
      </c>
      <c r="K257" s="11" t="n"/>
      <c r="L257" s="11" t="n"/>
    </row>
    <row r="258">
      <c r="A258" s="9" t="inlineStr">
        <is>
          <t>M257</t>
        </is>
      </c>
      <c r="B258" s="10" t="inlineStr">
        <is>
          <t>Noir – conforme</t>
        </is>
      </c>
      <c r="C258" s="9" t="inlineStr">
        <is>
          <t>BCPST1</t>
        </is>
      </c>
      <c r="D258" s="9" t="inlineStr">
        <is>
          <t>BCPST1 · Analyse 9 – Développements limités</t>
        </is>
      </c>
      <c r="E258" s="9" t="inlineStr">
        <is>
          <t>Formulaire</t>
        </is>
      </c>
      <c r="F258" s="10" t="inlineStr">
        <is>
          <t>DL usuels : 1/(1−x), (1+x)^α, √(1+x), 1/√(1+x)</t>
        </is>
      </c>
      <c r="G258" s="9" t="inlineStr">
        <is>
          <t>$\frac1{1-x}=\sum_{k=0}^nx^k+o(x^n)$ ; $(1+x)^\alpha=1+\alpha x+\frac{\alpha(\alpha-1)}{2!}x^2+\dots+\frac{\alpha(\alpha-1)\cdots(\alpha-n+1)}{n!}x^n+o(x^n)$ ; $\sqrt{1+x}=1+\frac x2-\frac{x^2}8+o(x^2)$ ; $\frac1{\sqrt{1+x}}=1-\frac x2+\frac38x^2+o(x^2)$.</t>
        </is>
      </c>
      <c r="H258" s="9" t="inlineStr">
        <is>
          <t>« Développements limités usuels au voisinage de 0 : … x ↦ 1/(1 + x), … (1 + x)^α. » (√(1+x) et 1/√(1+x) sont des cas particuliers ; « on évitera tout DL au-delà de l'ordre 3 » sur les exemples numériques)</t>
        </is>
      </c>
      <c r="I258" s="9" t="n">
        <v>100</v>
      </c>
      <c r="J258" s="9" t="inlineStr">
        <is>
          <t>Cadre « Principaux développements limités » découpé en plusieurs cartes</t>
        </is>
      </c>
      <c r="K258" s="11" t="n"/>
      <c r="L258" s="11" t="n"/>
    </row>
    <row r="259">
      <c r="A259" s="9" t="inlineStr">
        <is>
          <t>M258</t>
        </is>
      </c>
      <c r="B259" s="10" t="inlineStr">
        <is>
          <t>Noir – conforme</t>
        </is>
      </c>
      <c r="C259" s="9" t="inlineStr">
        <is>
          <t>BCPST1</t>
        </is>
      </c>
      <c r="D259" s="9" t="inlineStr">
        <is>
          <t>BCPST1 · Analyse 9 – Développements limités</t>
        </is>
      </c>
      <c r="E259" s="9" t="inlineStr">
        <is>
          <t>Formulaire</t>
        </is>
      </c>
      <c r="F259" s="10" t="inlineStr">
        <is>
          <t>DL usuels : ln(1+x), ln(1−x), eˣ</t>
        </is>
      </c>
      <c r="G259" s="9" t="inlineStr">
        <is>
          <t>$\ln(1+x)=\sum_{k=1}^n(-1)^{k+1}\frac{x^k}k+o(x^n)$ ; $\ln(1-x)=-\sum_{k=1}^n\frac{x^k}k+o(x^n)$ ; $e^x=\sum_{k=0}^n\frac{x^k}{k!}+o(x^n)$.</t>
        </is>
      </c>
      <c r="H259" s="9" t="inlineStr">
        <is>
          <t>« Développements limités usuels au voisinage de 0 : exp, … x ↦ ln(1 + x). »</t>
        </is>
      </c>
      <c r="I259" s="9" t="n">
        <v>100</v>
      </c>
      <c r="J259" s="9" t="inlineStr">
        <is>
          <t>Cadre « Principaux développements limités » découpé</t>
        </is>
      </c>
      <c r="K259" s="11" t="n"/>
      <c r="L259" s="11" t="n"/>
    </row>
    <row r="260">
      <c r="A260" s="9" t="inlineStr">
        <is>
          <t>M259</t>
        </is>
      </c>
      <c r="B260" s="10" t="inlineStr">
        <is>
          <t>Noir – conforme</t>
        </is>
      </c>
      <c r="C260" s="9" t="inlineStr">
        <is>
          <t>BCPST1</t>
        </is>
      </c>
      <c r="D260" s="9" t="inlineStr">
        <is>
          <t>BCPST1 · Analyse 9 – Développements limités</t>
        </is>
      </c>
      <c r="E260" s="9" t="inlineStr">
        <is>
          <t>Formulaire</t>
        </is>
      </c>
      <c r="F260" s="10" t="inlineStr">
        <is>
          <t>DL usuels : cos, sin</t>
        </is>
      </c>
      <c r="G260" s="9" t="inlineStr">
        <is>
          <t>$\cos x=\sum_{k=0}^n(-1)^k\frac{x^{2k}}{(2k)!}+o(x^{2n+1})$ ; $\sin x=\sum_{k=0}^n(-1)^k\frac{x^{2k+1}}{(2k+1)!}+o(x^{2n+2})$.</t>
        </is>
      </c>
      <c r="H260" s="9" t="inlineStr">
        <is>
          <t>« Développements limités usuels au voisinage de 0 : exp, cos, sin … »</t>
        </is>
      </c>
      <c r="I260" s="9" t="n">
        <v>100</v>
      </c>
      <c r="J260" s="9" t="inlineStr">
        <is>
          <t>Cadre « Principaux développements limités » découpé</t>
        </is>
      </c>
      <c r="K260" s="11" t="n"/>
      <c r="L260" s="11" t="n"/>
    </row>
    <row r="261">
      <c r="A261" s="12" t="inlineStr">
        <is>
          <t>M260</t>
        </is>
      </c>
      <c r="B261" s="13" t="inlineStr">
        <is>
          <t>Orange – incertain</t>
        </is>
      </c>
      <c r="C261" s="12" t="inlineStr">
        <is>
          <t>BCPST1</t>
        </is>
      </c>
      <c r="D261" s="12" t="inlineStr">
        <is>
          <t>BCPST1 · Analyse 9 – Développements limités</t>
        </is>
      </c>
      <c r="E261" s="12" t="inlineStr">
        <is>
          <t>Formulaire</t>
        </is>
      </c>
      <c r="F261" s="13" t="inlineStr">
        <is>
          <t>DL usuel : tan</t>
        </is>
      </c>
      <c r="G261" s="12" t="inlineStr">
        <is>
          <t>$\tan x=x+\frac{x^3}3+o(x^3)$.</t>
        </is>
      </c>
      <c r="H261" s="12" t="inlineStr">
        <is>
          <t>Le DL de tan n'est pas dans la liste des DL usuels du programme (il s'obtient par quotient). (th : fiche séparée, hors programme)</t>
        </is>
      </c>
      <c r="I261" s="12" t="n">
        <v>100</v>
      </c>
      <c r="J261" s="12" t="inlineStr">
        <is>
          <t>Cadre découpé (l'ouvrage va jusqu'à l'ordre 7) ; th placé dans une fiche séparée</t>
        </is>
      </c>
      <c r="K261" s="14" t="n"/>
      <c r="L261" s="14" t="n"/>
    </row>
    <row r="262">
      <c r="A262" s="12" t="inlineStr">
        <is>
          <t>M261</t>
        </is>
      </c>
      <c r="B262" s="13" t="inlineStr">
        <is>
          <t>Orange – incertain</t>
        </is>
      </c>
      <c r="C262" s="12" t="inlineStr">
        <is>
          <t>BCPST1</t>
        </is>
      </c>
      <c r="D262" s="12" t="inlineStr">
        <is>
          <t>BCPST1 · Analyse 9 – Développements limités</t>
        </is>
      </c>
      <c r="E262" s="12" t="inlineStr">
        <is>
          <t>Formulaire</t>
        </is>
      </c>
      <c r="F262" s="13" t="inlineStr">
        <is>
          <t>DL usuels : Arctan, Arcsin, Arccos</t>
        </is>
      </c>
      <c r="G262" s="12" t="inlineStr">
        <is>
          <t>$\arctan x=\sum_{k=0}^n(-1)^k\frac{x^{2k+1}}{2k+1}+o(x^{2n+2})$ ; $\arcsin x=x+\frac{x^3}6+o(x^3)$ ; $\arccos x=\frac\pi2-x-\frac{x^3}6+o(x^3)$.</t>
        </is>
      </c>
      <c r="H262" s="12" t="inlineStr">
        <is>
          <t>Ne figurent pas dans la liste des DL usuels. Arctan s'obtient par primitivation (au programme) ; pour Arcsin/Arccos, « La construction des fonctions arccosinus et arcsinus n'est pas un attendu ».</t>
        </is>
      </c>
      <c r="I262" s="12" t="n">
        <v>101</v>
      </c>
      <c r="J262" s="12" t="inlineStr">
        <is>
          <t>Cadre découpé</t>
        </is>
      </c>
      <c r="K262" s="14" t="n"/>
      <c r="L262" s="14" t="n"/>
    </row>
    <row r="263">
      <c r="A263" s="9" t="inlineStr">
        <is>
          <t>M262</t>
        </is>
      </c>
      <c r="B263" s="10" t="inlineStr">
        <is>
          <t>Noir – conforme</t>
        </is>
      </c>
      <c r="C263" s="9" t="inlineStr">
        <is>
          <t>BCPST1</t>
        </is>
      </c>
      <c r="D263" s="9" t="inlineStr">
        <is>
          <t>BCPST1 · Analyse 10 – Fonctions de deux variables</t>
        </is>
      </c>
      <c r="E263" s="9" t="inlineStr">
        <is>
          <t>Définition</t>
        </is>
      </c>
      <c r="F263" s="10" t="inlineStr">
        <is>
          <t>Pavé ouvert – Définition</t>
        </is>
      </c>
      <c r="G263" s="9" t="inlineStr">
        <is>
          <t>Pavé ouvert de $\mathbb R^n$ : produit $I_1\times\dots\times I_n$ d'intervalles ouverts.</t>
        </is>
      </c>
      <c r="H263" s="9" t="inlineStr">
        <is>
          <t>« Exemples de sous-ensembles de R² : demi-plan, disque, pavé » ; « continuité sur un pavé ouvert ».</t>
        </is>
      </c>
      <c r="I263" s="9" t="n">
        <v>46</v>
      </c>
      <c r="J263" s="9" t="inlineStr"/>
      <c r="K263" s="11" t="n"/>
      <c r="L263" s="11" t="n"/>
    </row>
    <row r="264">
      <c r="A264" s="12" t="inlineStr">
        <is>
          <t>M263</t>
        </is>
      </c>
      <c r="B264" s="13" t="inlineStr">
        <is>
          <t>Orange – incertain</t>
        </is>
      </c>
      <c r="C264" s="12" t="inlineStr">
        <is>
          <t>BCPST1</t>
        </is>
      </c>
      <c r="D264" s="12" t="inlineStr">
        <is>
          <t>BCPST1 · Analyse 10 – Fonctions de deux variables</t>
        </is>
      </c>
      <c r="E264" s="12" t="inlineStr">
        <is>
          <t>Définition</t>
        </is>
      </c>
      <c r="F264" s="13" t="inlineStr">
        <is>
          <t>Limite, continuité d'une fonction de n variables</t>
        </is>
      </c>
      <c r="G264" s="12" t="inlineStr">
        <is>
          <t>$f\to l$ en $a$ si $\forall\varepsilon&gt;0,\ \exists\delta&gt;0,\ \|x-a\|&lt;\delta\Rightarrow|f(x)-l|\le\varepsilon$ (norme euclidienne) ; $f$ continue en $a$ si $\lim_af=f(a)$.</t>
        </is>
      </c>
      <c r="H264" s="12" t="inlineStr">
        <is>
          <t>Au programme pour 2 variables, mais « Aucune question sur ces notions de continuité ne doit être posée dans une épreuve de mathématiques ». La définition (ε, δ) en n variables n'est pas citée.</t>
        </is>
      </c>
      <c r="I264" s="12" t="n">
        <v>46</v>
      </c>
      <c r="J264" s="12" t="inlineStr"/>
      <c r="K264" s="14" t="n"/>
      <c r="L264" s="14" t="n"/>
    </row>
    <row r="265">
      <c r="A265" s="9" t="inlineStr">
        <is>
          <t>M264</t>
        </is>
      </c>
      <c r="B265" s="10" t="inlineStr">
        <is>
          <t>Noir – conforme</t>
        </is>
      </c>
      <c r="C265" s="9" t="inlineStr">
        <is>
          <t>BCPST1</t>
        </is>
      </c>
      <c r="D265" s="9" t="inlineStr">
        <is>
          <t>BCPST1 · Analyse 10 – Fonctions de deux variables</t>
        </is>
      </c>
      <c r="E265" s="9" t="inlineStr">
        <is>
          <t>Définition</t>
        </is>
      </c>
      <c r="F265" s="10" t="inlineStr">
        <is>
          <t>Applications partielles</t>
        </is>
      </c>
      <c r="G265" s="9" t="inlineStr">
        <is>
          <t>$i$-ème application partielle en $a$ : $x\mapsto f(a_1,\dots,a_{i-1},x,a_{i+1},\dots,a_n)$.</t>
        </is>
      </c>
      <c r="H265" s="9" t="inlineStr">
        <is>
          <t>« Fonctions partielles. »</t>
        </is>
      </c>
      <c r="I265" s="9" t="n">
        <v>46</v>
      </c>
      <c r="J265" s="9" t="inlineStr"/>
      <c r="K265" s="11" t="n"/>
      <c r="L265" s="11" t="n"/>
    </row>
    <row r="266">
      <c r="A266" s="9" t="inlineStr">
        <is>
          <t>M265</t>
        </is>
      </c>
      <c r="B266" s="10" t="inlineStr">
        <is>
          <t>Noir – conforme</t>
        </is>
      </c>
      <c r="C266" s="9" t="inlineStr">
        <is>
          <t>BCPST1</t>
        </is>
      </c>
      <c r="D266" s="9" t="inlineStr">
        <is>
          <t>BCPST1 · Analyse 10 – Fonctions de deux variables</t>
        </is>
      </c>
      <c r="E266" s="9" t="inlineStr">
        <is>
          <t>Définition</t>
        </is>
      </c>
      <c r="F266" s="10" t="inlineStr">
        <is>
          <t>Dérivées partielles premières</t>
        </is>
      </c>
      <c r="G266" s="9" t="inlineStr">
        <is>
          <t>$\frac{\partial f}{\partial x_i}(a)$ : dérivée en $a_i$ de la $i$-ème application partielle en $a$ (si elle existe).</t>
        </is>
      </c>
      <c r="H266" s="9" t="inlineStr">
        <is>
          <t>« Dérivées partielles. »</t>
        </is>
      </c>
      <c r="I266" s="9" t="n">
        <v>46</v>
      </c>
      <c r="J266" s="9" t="inlineStr"/>
      <c r="K266" s="11" t="n"/>
      <c r="L266" s="11" t="n"/>
    </row>
    <row r="267">
      <c r="A267" s="9" t="inlineStr">
        <is>
          <t>M266</t>
        </is>
      </c>
      <c r="B267" s="10" t="inlineStr">
        <is>
          <t>Noir – conforme</t>
        </is>
      </c>
      <c r="C267" s="9" t="inlineStr">
        <is>
          <t>BCPST1</t>
        </is>
      </c>
      <c r="D267" s="9" t="inlineStr">
        <is>
          <t>BCPST1 · Analyse 10 – Fonctions de deux variables</t>
        </is>
      </c>
      <c r="E267" s="9" t="inlineStr">
        <is>
          <t>Définition</t>
        </is>
      </c>
      <c r="F267" s="10" t="inlineStr">
        <is>
          <t>Fonctions de classe C¹ (plusieurs variables)</t>
        </is>
      </c>
      <c r="G267" s="9" t="inlineStr">
        <is>
          <t>$f$ est $\mathcal C^1$ sur le pavé ouvert $P$ si elle admet des dérivées partielles par rapport à chaque variable, continues sur $P$.</t>
        </is>
      </c>
      <c r="H267" s="9" t="inlineStr">
        <is>
          <t>« Fonctions de classe C¹ sur un pavé ouvert du plan. Dans un énoncé on ne demandera jamais de montrer qu'une fonction est de classe C¹. »</t>
        </is>
      </c>
      <c r="I267" s="9" t="n">
        <v>47</v>
      </c>
      <c r="J267" s="9" t="inlineStr"/>
      <c r="K267" s="11" t="n"/>
      <c r="L267" s="11" t="n"/>
    </row>
    <row r="268">
      <c r="A268" s="9" t="inlineStr">
        <is>
          <t>M267</t>
        </is>
      </c>
      <c r="B268" s="10" t="inlineStr">
        <is>
          <t>Noir – conforme</t>
        </is>
      </c>
      <c r="C268" s="9" t="inlineStr">
        <is>
          <t>BCPST1</t>
        </is>
      </c>
      <c r="D268" s="9" t="inlineStr">
        <is>
          <t>BCPST1 · Analyse 10 – Fonctions de deux variables</t>
        </is>
      </c>
      <c r="E268" s="9" t="inlineStr">
        <is>
          <t>Définition</t>
        </is>
      </c>
      <c r="F268" s="10" t="inlineStr">
        <is>
          <t>Dérivées partielles secondes</t>
        </is>
      </c>
      <c r="G268" s="9" t="inlineStr">
        <is>
          <t>$\frac{\partial^2f}{\partial x_j\partial x_i}(a)$ : dérivée partielle par rapport à $x_j$ de $\frac{\partial f}{\partial x_i}$ en $a$.</t>
        </is>
      </c>
      <c r="H268" s="9" t="inlineStr">
        <is>
          <t>« Dérivées partielles d'ordre deux. »</t>
        </is>
      </c>
      <c r="I268" s="9" t="n">
        <v>47</v>
      </c>
      <c r="J268" s="9" t="inlineStr"/>
      <c r="K268" s="11" t="n"/>
      <c r="L268" s="11" t="n"/>
    </row>
    <row r="269">
      <c r="A269" s="9" t="inlineStr">
        <is>
          <t>M268</t>
        </is>
      </c>
      <c r="B269" s="10" t="inlineStr">
        <is>
          <t>Noir – conforme</t>
        </is>
      </c>
      <c r="C269" s="9" t="inlineStr">
        <is>
          <t>BCPST1</t>
        </is>
      </c>
      <c r="D269" s="9" t="inlineStr">
        <is>
          <t>BCPST1 · Analyse 10 – Fonctions de deux variables</t>
        </is>
      </c>
      <c r="E269" s="9" t="inlineStr">
        <is>
          <t>Définition</t>
        </is>
      </c>
      <c r="F269" s="10" t="inlineStr">
        <is>
          <t>Fonctions de classe C² (plusieurs variables)</t>
        </is>
      </c>
      <c r="G269" s="9" t="inlineStr">
        <is>
          <t>$f$ est $\mathcal C^2$ si toutes ses dérivées partielles secondes existent et sont continues sur $P$.</t>
        </is>
      </c>
      <c r="H269" s="9" t="inlineStr">
        <is>
          <t>« Dérivées partielles d'ordre deux, interversion des dérivations. »</t>
        </is>
      </c>
      <c r="I269" s="9" t="n">
        <v>47</v>
      </c>
      <c r="J269" s="9" t="inlineStr"/>
      <c r="K269" s="11" t="n"/>
      <c r="L269" s="11" t="n"/>
    </row>
    <row r="270">
      <c r="A270" s="9" t="inlineStr">
        <is>
          <t>M269</t>
        </is>
      </c>
      <c r="B270" s="10" t="inlineStr">
        <is>
          <t>Noir – conforme</t>
        </is>
      </c>
      <c r="C270" s="9" t="inlineStr">
        <is>
          <t>BCPST1</t>
        </is>
      </c>
      <c r="D270" s="9" t="inlineStr">
        <is>
          <t>BCPST1 · Analyse 10 – Fonctions de deux variables</t>
        </is>
      </c>
      <c r="E270" s="9" t="inlineStr">
        <is>
          <t>Théorème</t>
        </is>
      </c>
      <c r="F270" s="10" t="inlineStr">
        <is>
          <t>Théorème de Schwarz</t>
        </is>
      </c>
      <c r="G270" s="9" t="inlineStr">
        <is>
          <t>Si $f$ est $\mathcal C^2$ sur un ouvert : $\dfrac{\partial^2f}{\partial x_j\partial x_i}=\dfrac{\partial^2f}{\partial x_i\partial x_j}$.</t>
        </is>
      </c>
      <c r="H270" s="9" t="inlineStr">
        <is>
          <t>« interversion des dérivations. Le théorème de Schwarz est admis. »</t>
        </is>
      </c>
      <c r="I270" s="9" t="n">
        <v>47</v>
      </c>
      <c r="J270" s="9" t="inlineStr"/>
      <c r="K270" s="11" t="n"/>
      <c r="L270" s="11" t="n"/>
    </row>
    <row r="271">
      <c r="A271" s="9" t="inlineStr">
        <is>
          <t>M270</t>
        </is>
      </c>
      <c r="B271" s="10" t="inlineStr">
        <is>
          <t>Noir – conforme</t>
        </is>
      </c>
      <c r="C271" s="9" t="inlineStr">
        <is>
          <t>BCPST1</t>
        </is>
      </c>
      <c r="D271" s="9" t="inlineStr">
        <is>
          <t>BCPST1 · Analyse 10 – Fonctions de deux variables</t>
        </is>
      </c>
      <c r="E271" s="9" t="inlineStr">
        <is>
          <t>Définition</t>
        </is>
      </c>
      <c r="F271" s="10" t="inlineStr">
        <is>
          <t>Extremum local – Définition (plusieurs variables)</t>
        </is>
      </c>
      <c r="G271" s="9" t="inlineStr">
        <is>
          <t>$f$ admet un maximum local en $a$ s'il existe $\delta&gt;0$ tel que $\|x-a\|&lt;\delta\Rightarrow f(x)\le f(a)$ (minimum : $f(x)\ge f(a)$).</t>
        </is>
      </c>
      <c r="H271" s="9" t="inlineStr">
        <is>
          <t>« Lien avec l'existence éventuelle d'extremum dans le cas d'une fonction définie sur un pavé ouvert. »</t>
        </is>
      </c>
      <c r="I271" s="9" t="n">
        <v>47</v>
      </c>
      <c r="J271" s="9" t="inlineStr"/>
      <c r="K271" s="11" t="n"/>
      <c r="L271" s="11" t="n"/>
    </row>
    <row r="272">
      <c r="A272" s="9" t="inlineStr">
        <is>
          <t>M271</t>
        </is>
      </c>
      <c r="B272" s="10" t="inlineStr">
        <is>
          <t>Noir – conforme</t>
        </is>
      </c>
      <c r="C272" s="9" t="inlineStr">
        <is>
          <t>BCPST1</t>
        </is>
      </c>
      <c r="D272" s="9" t="inlineStr">
        <is>
          <t>BCPST1 · Analyse 10 – Fonctions de deux variables</t>
        </is>
      </c>
      <c r="E272" s="9" t="inlineStr">
        <is>
          <t>Théorème</t>
        </is>
      </c>
      <c r="F272" s="10" t="inlineStr">
        <is>
          <t>Condition nécessaire d'extremum local</t>
        </is>
      </c>
      <c r="G272" s="9" t="inlineStr">
        <is>
          <t>Si $f$ est $\mathcal C^1$ sur un ouvert et admet un extremum local en $a$, alors toutes ses dérivées partielles sont nulles en $a$ (point critique) ; réciproque fausse.</t>
        </is>
      </c>
      <c r="H272" s="9" t="inlineStr">
        <is>
          <t>« Définition de point critique. Lien avec l'existence éventuelle d'extremum … Toute condition suffisante d'extrémalité est hors programme. »</t>
        </is>
      </c>
      <c r="I272" s="9" t="n">
        <v>47</v>
      </c>
      <c r="J272" s="9" t="inlineStr"/>
      <c r="K272" s="11" t="n"/>
      <c r="L272" s="11" t="n"/>
    </row>
    <row r="273">
      <c r="A273" s="12" t="inlineStr">
        <is>
          <t>M272</t>
        </is>
      </c>
      <c r="B273" s="13" t="inlineStr">
        <is>
          <t>Orange – incertain</t>
        </is>
      </c>
      <c r="C273" s="12" t="inlineStr">
        <is>
          <t>BCPST1</t>
        </is>
      </c>
      <c r="D273" s="12" t="inlineStr">
        <is>
          <t>BCPST1 · Analyse 10 – Fonctions de deux variables</t>
        </is>
      </c>
      <c r="E273" s="12" t="inlineStr">
        <is>
          <t>Définition</t>
        </is>
      </c>
      <c r="F273" s="13" t="inlineStr">
        <is>
          <t>Différentielle d'une fonction de classe C¹</t>
        </is>
      </c>
      <c r="G273" s="12" t="inlineStr">
        <is>
          <t>$df_a(h)=\sum_{i=1}^n\frac{\partial f}{\partial x_i}(a)h_i$.</t>
        </is>
      </c>
      <c r="H273" s="12" t="inlineStr">
        <is>
          <t>Le mot « différentielle » est absent ; le programme dit seulement « Utilisation des dérivées partielles premières pour évaluer une petite variation de la valeur d'une fonction ».</t>
        </is>
      </c>
      <c r="I273" s="12" t="n">
        <v>48</v>
      </c>
      <c r="J273" s="12" t="inlineStr"/>
      <c r="K273" s="14" t="n"/>
      <c r="L273" s="14" t="n"/>
    </row>
    <row r="274">
      <c r="A274" s="12" t="inlineStr">
        <is>
          <t>M273</t>
        </is>
      </c>
      <c r="B274" s="13" t="inlineStr">
        <is>
          <t>Orange – incertain</t>
        </is>
      </c>
      <c r="C274" s="12" t="inlineStr">
        <is>
          <t>BCPST1</t>
        </is>
      </c>
      <c r="D274" s="12" t="inlineStr">
        <is>
          <t>BCPST1 · Analyse 10 – Fonctions de deux variables</t>
        </is>
      </c>
      <c r="E274" s="12" t="inlineStr">
        <is>
          <t>Théorème</t>
        </is>
      </c>
      <c r="F274" s="13" t="inlineStr">
        <is>
          <t>Différentielle et approximation locale</t>
        </is>
      </c>
      <c r="G274" s="12" t="inlineStr">
        <is>
          <t>Si $f$ est $\mathcal C^1$ : $f(a+h)=f(a)+\sum_i\frac{\partial f}{\partial x_i}(a)h_i+o(\|h\|)$ (développement limité à l'ordre 1).</t>
        </is>
      </c>
      <c r="H274" s="12" t="inlineStr">
        <is>
          <t>Proche de « évaluer une petite variation … découlant de petites variations sur les variables », mais le DL d'ordre 1 n'est pas énoncé.</t>
        </is>
      </c>
      <c r="I274" s="12" t="n">
        <v>48</v>
      </c>
      <c r="J274" s="12" t="inlineStr"/>
      <c r="K274" s="14" t="n"/>
      <c r="L274" s="14" t="n"/>
    </row>
    <row r="275">
      <c r="A275" s="12" t="inlineStr">
        <is>
          <t>M274</t>
        </is>
      </c>
      <c r="B275" s="13" t="inlineStr">
        <is>
          <t>Orange – incertain</t>
        </is>
      </c>
      <c r="C275" s="12" t="inlineStr">
        <is>
          <t>BCPST1</t>
        </is>
      </c>
      <c r="D275" s="12" t="inlineStr">
        <is>
          <t>BCPST1 · Analyse 10 – Fonctions de deux variables</t>
        </is>
      </c>
      <c r="E275" s="12" t="inlineStr">
        <is>
          <t>Définition</t>
        </is>
      </c>
      <c r="F275" s="13" t="inlineStr">
        <is>
          <t>Notations différentielles</t>
        </is>
      </c>
      <c r="G275" s="12" t="inlineStr">
        <is>
          <t>$df_a=\sum_{i=1}^n\frac{\partial f}{\partial x_i}(a)\,dx_i$, où $dx_i:h\mapsto h_i$.</t>
        </is>
      </c>
      <c r="H275" s="12" t="inlineStr">
        <is>
          <t>Programme muet : notion non mentionnée.</t>
        </is>
      </c>
      <c r="I275" s="12" t="n">
        <v>48</v>
      </c>
      <c r="J275" s="12" t="inlineStr"/>
      <c r="K275" s="14" t="n"/>
      <c r="L275" s="14" t="n"/>
    </row>
    <row r="276">
      <c r="A276" s="9" t="inlineStr">
        <is>
          <t>M275</t>
        </is>
      </c>
      <c r="B276" s="10" t="inlineStr">
        <is>
          <t>Noir – conforme</t>
        </is>
      </c>
      <c r="C276" s="9" t="inlineStr">
        <is>
          <t>BCPST1</t>
        </is>
      </c>
      <c r="D276" s="9" t="inlineStr">
        <is>
          <t>BCPST1 · Analyse 10 – Fonctions de deux variables</t>
        </is>
      </c>
      <c r="E276" s="9" t="inlineStr">
        <is>
          <t>Définition</t>
        </is>
      </c>
      <c r="F276" s="10" t="inlineStr">
        <is>
          <t>Gradient – Définition</t>
        </is>
      </c>
      <c r="G276" s="9" t="inlineStr">
        <is>
          <t>$\nabla f(a)=\left(\frac{\partial f}{\partial x_1}(a),\dots,\frac{\partial f}{\partial x_n}(a)\right)$.</t>
        </is>
      </c>
      <c r="H276" s="9" t="inlineStr">
        <is>
          <t>« Définition du gradient ; calcul dans un repère orthonormal en coordonnées cartésiennes. »</t>
        </is>
      </c>
      <c r="I276" s="9" t="n">
        <v>48</v>
      </c>
      <c r="J276" s="9" t="inlineStr"/>
      <c r="K276" s="11" t="n"/>
      <c r="L276" s="11" t="n"/>
    </row>
    <row r="277">
      <c r="A277" s="12" t="inlineStr">
        <is>
          <t>M276</t>
        </is>
      </c>
      <c r="B277" s="13" t="inlineStr">
        <is>
          <t>Orange – incertain</t>
        </is>
      </c>
      <c r="C277" s="12" t="inlineStr">
        <is>
          <t>BCPST1</t>
        </is>
      </c>
      <c r="D277" s="12" t="inlineStr">
        <is>
          <t>BCPST1 · Analyse 10 – Fonctions de deux variables</t>
        </is>
      </c>
      <c r="E277" s="12" t="inlineStr">
        <is>
          <t>Théorème</t>
        </is>
      </c>
      <c r="F277" s="13" t="inlineStr">
        <is>
          <t>Dérivées partielles d'une composée (u,v) ↦ f(x(u,v), y(u,v))</t>
        </is>
      </c>
      <c r="G277" s="12" t="inlineStr">
        <is>
          <t>$\frac{\partial F}{\partial u}=\frac{\partial f}{\partial x}\frac{\partial x}{\partial u}+\frac{\partial f}{\partial y}\frac{\partial y}{\partial u}$, de même pour $v$ (dérivées de $f$ prises en $(x(u,v),y(u,v))$).</t>
        </is>
      </c>
      <c r="H277" s="12" t="inlineStr">
        <is>
          <t>Seule la dérivation de t ↦ f(x(t), y(t)) est au programme ; le cas (u,v) ↦ f(x(u,v), y(u,v)) n'est pas cité.</t>
        </is>
      </c>
      <c r="I277" s="12" t="n">
        <v>49</v>
      </c>
      <c r="J277" s="12" t="inlineStr">
        <is>
          <t>Titre de l'ouvrage : « … en dimension 2 – Version 1 »</t>
        </is>
      </c>
      <c r="K277" s="14" t="n"/>
      <c r="L277" s="14" t="n"/>
    </row>
    <row r="278">
      <c r="A278" s="9" t="inlineStr">
        <is>
          <t>M277</t>
        </is>
      </c>
      <c r="B278" s="10" t="inlineStr">
        <is>
          <t>Noir – conforme</t>
        </is>
      </c>
      <c r="C278" s="9" t="inlineStr">
        <is>
          <t>BCPST1</t>
        </is>
      </c>
      <c r="D278" s="9" t="inlineStr">
        <is>
          <t>BCPST1 · Analyse 10 – Fonctions de deux variables</t>
        </is>
      </c>
      <c r="E278" s="9" t="inlineStr">
        <is>
          <t>Théorème</t>
        </is>
      </c>
      <c r="F278" s="10" t="inlineStr">
        <is>
          <t>Dérivée d'une composée t ↦ f(x(t), y(t))</t>
        </is>
      </c>
      <c r="G278" s="9" t="inlineStr">
        <is>
          <t>$F'(t)=x'(t)\frac{\partial f}{\partial x}(x(t),y(t))+y'(t)\frac{\partial f}{\partial y}(x(t),y(t))$.</t>
        </is>
      </c>
      <c r="H278" s="9" t="inlineStr">
        <is>
          <t>« Dérivation d'une expression de la forme t ↦ f(x(t), y(t)), la fonction f étant de classe C¹ et les fonctions x, y étant dérivables. »</t>
        </is>
      </c>
      <c r="I278" s="9" t="n">
        <v>49</v>
      </c>
      <c r="J278" s="9" t="inlineStr">
        <is>
          <t>Titre de l'ouvrage : « … en dimension 2 – Version 2 »</t>
        </is>
      </c>
      <c r="K278" s="11" t="n"/>
      <c r="L278" s="11" t="n"/>
    </row>
    <row r="279">
      <c r="A279" s="9" t="inlineStr">
        <is>
          <t>M278</t>
        </is>
      </c>
      <c r="B279" s="10" t="inlineStr">
        <is>
          <t>Noir – conforme</t>
        </is>
      </c>
      <c r="C279" s="9" t="inlineStr">
        <is>
          <t>BCPST1</t>
        </is>
      </c>
      <c r="D279" s="9" t="inlineStr">
        <is>
          <t>BCPST1 · Probabilités 1 – Concepts de base</t>
        </is>
      </c>
      <c r="E279" s="9" t="inlineStr">
        <is>
          <t>Définition</t>
        </is>
      </c>
      <c r="F279" s="10" t="inlineStr">
        <is>
          <t>Système complet de parties – Définition</t>
        </is>
      </c>
      <c r="G279" s="9" t="inlineStr">
        <is>
          <t>$(A_i)$ est un système complet (partition) de $\Omega$ si $\Omega=\bigcup A_i$ et les $A_i$ sont deux à deux disjoints.</t>
        </is>
      </c>
      <c r="H279" s="9" t="inlineStr">
        <is>
          <t>« Un système complet pour Ω est une famille d'événements deux à deux incompatibles dont la réunion est l'ensemble Ω. »</t>
        </is>
      </c>
      <c r="I279" s="9" t="n">
        <v>73</v>
      </c>
      <c r="J279" s="9" t="inlineStr"/>
      <c r="K279" s="11" t="n"/>
      <c r="L279" s="11" t="n"/>
    </row>
    <row r="280">
      <c r="A280" s="15" t="inlineStr">
        <is>
          <t>M279</t>
        </is>
      </c>
      <c r="B280" s="16" t="inlineStr">
        <is>
          <t>Rouge – hors programme</t>
        </is>
      </c>
      <c r="C280" s="15" t="inlineStr">
        <is>
          <t>BCPST1</t>
        </is>
      </c>
      <c r="D280" s="15" t="inlineStr">
        <is>
          <t>BCPST1 · Probabilités 1 – Concepts de base</t>
        </is>
      </c>
      <c r="E280" s="15" t="inlineStr">
        <is>
          <t>Théorème</t>
        </is>
      </c>
      <c r="F280" s="16" t="inlineStr">
        <is>
          <t>Formule du crible de Poincaré</t>
        </is>
      </c>
      <c r="G280" s="15" t="inlineStr">
        <is>
          <t>$\mathrm{Card}\left(\bigcup_{i=1}^nA_i\right)=\sum_{k=1}^n(-1)^{k-1}\sum_{1\le i_1&lt;\dots&lt;i_k\le n}\mathrm{Card}(A_{i_1}\cap\dots\cap A_{i_k})$.</t>
        </is>
      </c>
      <c r="H280" s="15" t="inlineStr">
        <is>
          <t>« La formule générale du crible est hors programme. On pourra voir comment retrouver la formule dans le cas de 3 événements. »</t>
        </is>
      </c>
      <c r="I280" s="15" t="n">
        <v>73</v>
      </c>
      <c r="J280" s="15" t="inlineStr"/>
      <c r="K280" s="17" t="n"/>
      <c r="L280" s="17" t="n"/>
    </row>
    <row r="281">
      <c r="A281" s="9" t="inlineStr">
        <is>
          <t>M280</t>
        </is>
      </c>
      <c r="B281" s="10" t="inlineStr">
        <is>
          <t>Noir – conforme</t>
        </is>
      </c>
      <c r="C281" s="9" t="inlineStr">
        <is>
          <t>BCPST1</t>
        </is>
      </c>
      <c r="D281" s="9" t="inlineStr">
        <is>
          <t>BCPST1 · Probabilités 1 – Concepts de base</t>
        </is>
      </c>
      <c r="E281" s="9" t="inlineStr">
        <is>
          <t>Définition</t>
        </is>
      </c>
      <c r="F281" s="10" t="inlineStr">
        <is>
          <t>Vocabulaire des probabilités</t>
        </is>
      </c>
      <c r="G281" s="9" t="inlineStr">
        <is>
          <t>Univers $\Omega$ (issues possibles), issue $\omega$, événement $A\subset\Omega$, ensemble des événements $\mathcal F$ ($=\mathcal P(\Omega)$ si $\Omega$ fini) ; $(\Omega,\mathcal F)$ espace probabilisable.</t>
        </is>
      </c>
      <c r="H281" s="9" t="inlineStr">
        <is>
          <t>« Ensemble des résultats possibles … (univers). Événements. » ; BCPST2 : « Notion de tribu … Aucune question sur les tribus ».</t>
        </is>
      </c>
      <c r="I281" s="9" t="n">
        <v>75</v>
      </c>
      <c r="J281" s="9" t="inlineStr"/>
      <c r="K281" s="11" t="n"/>
      <c r="L281" s="11" t="n"/>
    </row>
    <row r="282">
      <c r="A282" s="9" t="inlineStr">
        <is>
          <t>M281</t>
        </is>
      </c>
      <c r="B282" s="10" t="inlineStr">
        <is>
          <t>Noir – conforme</t>
        </is>
      </c>
      <c r="C282" s="9" t="inlineStr">
        <is>
          <t>BCPST1</t>
        </is>
      </c>
      <c r="D282" s="9" t="inlineStr">
        <is>
          <t>BCPST1 · Probabilités 1 – Concepts de base</t>
        </is>
      </c>
      <c r="E282" s="9" t="inlineStr">
        <is>
          <t>Propriété</t>
        </is>
      </c>
      <c r="F282" s="10" t="inlineStr">
        <is>
          <t>Probabilité – Règles de calcul</t>
        </is>
      </c>
      <c r="G282" s="9" t="inlineStr">
        <is>
          <t>$P(\emptyset)=0$ ; $P(\bar A)=1-P(A)$ ; $P(A\cup B)=P(A)+P(B)-P(A\cap B)$ ; $A\subset B\Rightarrow P(A)\le P(B)$.</t>
        </is>
      </c>
      <c r="H282" s="9" t="inlineStr">
        <is>
          <t>« P(Ā) = 1 − P(A), P(∅) = 0, P(A ∪ B) = P(A) + P(B) − P(A ∩ B). » (crible : fiche séparée, hors programme)</t>
        </is>
      </c>
      <c r="I282" s="9" t="n">
        <v>75</v>
      </c>
      <c r="J282" s="9" t="inlineStr">
        <is>
          <t>Crible général retiré (fiche séparée, hors programme) ; inégalité de sous-additivité $P(\cup A_i)\le\sum P(A_i)$ de l'ouvrage retirée (absente du programme)</t>
        </is>
      </c>
      <c r="K282" s="11" t="n"/>
      <c r="L282" s="11" t="n"/>
    </row>
    <row r="283">
      <c r="A283" s="15" t="inlineStr">
        <is>
          <t>M282</t>
        </is>
      </c>
      <c r="B283" s="16" t="inlineStr">
        <is>
          <t>Rouge – hors programme</t>
        </is>
      </c>
      <c r="C283" s="15" t="inlineStr">
        <is>
          <t>BCPST1</t>
        </is>
      </c>
      <c r="D283" s="15" t="inlineStr">
        <is>
          <t>BCPST1 · Probabilités 1 – Concepts de base</t>
        </is>
      </c>
      <c r="E283" s="15" t="inlineStr">
        <is>
          <t>Théorème</t>
        </is>
      </c>
      <c r="F283" s="16" t="inlineStr">
        <is>
          <t>Formule du crible de Poincaré (probabilités)</t>
        </is>
      </c>
      <c r="G283" s="15" t="inlineStr">
        <is>
          <t>$P\left(\bigcup_{i=1}^nA_i\right)=\sum_{k=1}^n(-1)^{k-1}\sum_{i_1&lt;\dots&lt;i_k}P(A_{i_1}\cap\dots\cap A_{i_k})$.</t>
        </is>
      </c>
      <c r="H283" s="15" t="inlineStr">
        <is>
          <t>« La formule générale du crible est hors programme. On pourra voir comment retrouver la formule dans le cas de 3 événements. »</t>
        </is>
      </c>
      <c r="I283" s="15" t="n">
        <v>75</v>
      </c>
      <c r="J283" s="15" t="inlineStr">
        <is>
          <t>Fiche détachée d'un cadre de l'ouvrage (contenu partiellement hors programme)</t>
        </is>
      </c>
      <c r="K283" s="17" t="n"/>
      <c r="L283" s="17" t="n"/>
    </row>
    <row r="284">
      <c r="A284" s="9" t="inlineStr">
        <is>
          <t>M283</t>
        </is>
      </c>
      <c r="B284" s="10" t="inlineStr">
        <is>
          <t>Noir – conforme</t>
        </is>
      </c>
      <c r="C284" s="9" t="inlineStr">
        <is>
          <t>BCPST1</t>
        </is>
      </c>
      <c r="D284" s="9" t="inlineStr">
        <is>
          <t>BCPST1 · Probabilités 1 – Concepts de base</t>
        </is>
      </c>
      <c r="E284" s="9" t="inlineStr">
        <is>
          <t>Définition</t>
        </is>
      </c>
      <c r="F284" s="10" t="inlineStr">
        <is>
          <t>Probabilité uniforme – Définition</t>
        </is>
      </c>
      <c r="G284" s="9" t="inlineStr">
        <is>
          <t>Sur $\Omega$ fini non vide : $P(A)=\dfrac{\mathrm{Card}A}{\mathrm{Card}\,\Omega}$.</t>
        </is>
      </c>
      <c r="H284" s="9" t="inlineStr">
        <is>
          <t>« Cas de l'équiprobabilité : probabilité uniforme. »</t>
        </is>
      </c>
      <c r="I284" s="9" t="n">
        <v>76</v>
      </c>
      <c r="J284" s="9" t="inlineStr"/>
      <c r="K284" s="11" t="n"/>
      <c r="L284" s="11" t="n"/>
    </row>
    <row r="285">
      <c r="A285" s="9" t="inlineStr">
        <is>
          <t>M284</t>
        </is>
      </c>
      <c r="B285" s="10" t="inlineStr">
        <is>
          <t>Noir – conforme</t>
        </is>
      </c>
      <c r="C285" s="9" t="inlineStr">
        <is>
          <t>BCPST1</t>
        </is>
      </c>
      <c r="D285" s="9" t="inlineStr">
        <is>
          <t>BCPST1 · Probabilités 1 – Concepts de base</t>
        </is>
      </c>
      <c r="E285" s="9" t="inlineStr">
        <is>
          <t>Définition</t>
        </is>
      </c>
      <c r="F285" s="10" t="inlineStr">
        <is>
          <t>Probabilité conditionnelle – Définition</t>
        </is>
      </c>
      <c r="G285" s="9" t="inlineStr">
        <is>
          <t>Si $P(B)\neq0$ : $P(A|B)=P_B(A)=\dfrac{P(A\cap B)}{P(B)}$.</t>
        </is>
      </c>
      <c r="H285" s="9" t="inlineStr">
        <is>
          <t>« Définition de la probabilité conditionnelle. »</t>
        </is>
      </c>
      <c r="I285" s="9" t="n">
        <v>76</v>
      </c>
      <c r="J285" s="9" t="inlineStr"/>
      <c r="K285" s="11" t="n"/>
      <c r="L285" s="11" t="n"/>
    </row>
    <row r="286">
      <c r="A286" s="9" t="inlineStr">
        <is>
          <t>M285</t>
        </is>
      </c>
      <c r="B286" s="10" t="inlineStr">
        <is>
          <t>Noir – conforme</t>
        </is>
      </c>
      <c r="C286" s="9" t="inlineStr">
        <is>
          <t>BCPST1</t>
        </is>
      </c>
      <c r="D286" s="9" t="inlineStr">
        <is>
          <t>BCPST1 · Probabilités 1 – Concepts de base</t>
        </is>
      </c>
      <c r="E286" s="9" t="inlineStr">
        <is>
          <t>Théorème</t>
        </is>
      </c>
      <c r="F286" s="10" t="inlineStr">
        <is>
          <t>Formule des probabilités composées</t>
        </is>
      </c>
      <c r="G286" s="9" t="inlineStr">
        <is>
          <t>Si $P(A_1\cap\dots\cap A_{n-1})\neq0$ : $P(A_1\cap\dots\cap A_n)=P(A_1)P(A_2|A_1)\cdots P(A_n|A_1\cap\dots\cap A_{n-1})$.</t>
        </is>
      </c>
      <c r="H286" s="9" t="inlineStr">
        <is>
          <t>« Formule des probabilités composées (conditionnements successifs). »</t>
        </is>
      </c>
      <c r="I286" s="9" t="n">
        <v>76</v>
      </c>
      <c r="J286" s="9" t="inlineStr"/>
      <c r="K286" s="11" t="n"/>
      <c r="L286" s="11" t="n"/>
    </row>
    <row r="287">
      <c r="A287" s="9" t="inlineStr">
        <is>
          <t>M286</t>
        </is>
      </c>
      <c r="B287" s="10" t="inlineStr">
        <is>
          <t>Noir – conforme</t>
        </is>
      </c>
      <c r="C287" s="9" t="inlineStr">
        <is>
          <t>BCPST1</t>
        </is>
      </c>
      <c r="D287" s="9" t="inlineStr">
        <is>
          <t>BCPST1 · Probabilités 1 – Concepts de base</t>
        </is>
      </c>
      <c r="E287" s="9" t="inlineStr">
        <is>
          <t>Théorème</t>
        </is>
      </c>
      <c r="F287" s="10" t="inlineStr">
        <is>
          <t>Formule des probabilités totales</t>
        </is>
      </c>
      <c r="G287" s="9" t="inlineStr">
        <is>
          <t>Si $(A_i)$ est un système complet d'événements : $P(B)=\sum_iP(B|A_i)P(A_i)$ (termes avec $P(A_i)=0$ comptés nuls).</t>
        </is>
      </c>
      <c r="H287" s="9" t="inlineStr">
        <is>
          <t>« Formule des probabilités totales » ; BCPST2 : version pour une suite (Aₙ), avec P(Aₙ)P_{Aₙ}(B) = 0 si P(Aₙ) = 0.</t>
        </is>
      </c>
      <c r="I287" s="9" t="n">
        <v>76</v>
      </c>
      <c r="J287" s="9" t="inlineStr"/>
      <c r="K287" s="11" t="n"/>
      <c r="L287" s="11" t="n"/>
    </row>
    <row r="288">
      <c r="A288" s="9" t="inlineStr">
        <is>
          <t>M287</t>
        </is>
      </c>
      <c r="B288" s="10" t="inlineStr">
        <is>
          <t>Noir – conforme</t>
        </is>
      </c>
      <c r="C288" s="9" t="inlineStr">
        <is>
          <t>BCPST1</t>
        </is>
      </c>
      <c r="D288" s="9" t="inlineStr">
        <is>
          <t>BCPST1 · Probabilités 1 – Concepts de base</t>
        </is>
      </c>
      <c r="E288" s="9" t="inlineStr">
        <is>
          <t>Théorème</t>
        </is>
      </c>
      <c r="F288" s="10" t="inlineStr">
        <is>
          <t>Formule de Bayes</t>
        </is>
      </c>
      <c r="G288" s="9" t="inlineStr">
        <is>
          <t>$P(A_j|B)=\dfrac{P(B|A_j)P(A_j)}{\sum_iP(B|A_i)P(A_i)}$.</t>
        </is>
      </c>
      <c r="H288" s="9" t="inlineStr">
        <is>
          <t>« Formule de Bayes. »</t>
        </is>
      </c>
      <c r="I288" s="9" t="n">
        <v>76</v>
      </c>
      <c r="J288" s="9" t="inlineStr"/>
      <c r="K288" s="11" t="n"/>
      <c r="L288" s="11" t="n"/>
    </row>
    <row r="289">
      <c r="A289" s="9" t="inlineStr">
        <is>
          <t>M288</t>
        </is>
      </c>
      <c r="B289" s="10" t="inlineStr">
        <is>
          <t>Noir – conforme</t>
        </is>
      </c>
      <c r="C289" s="9" t="inlineStr">
        <is>
          <t>BCPST1</t>
        </is>
      </c>
      <c r="D289" s="9" t="inlineStr">
        <is>
          <t>BCPST1 · Probabilités 1 – Concepts de base</t>
        </is>
      </c>
      <c r="E289" s="9" t="inlineStr">
        <is>
          <t>Définition</t>
        </is>
      </c>
      <c r="F289" s="10" t="inlineStr">
        <is>
          <t>Indépendance de deux événements – Définition</t>
        </is>
      </c>
      <c r="G289" s="9" t="inlineStr">
        <is>
          <t>$A$ et $B$ indépendants si $P(A\cap B)=P(A)P(B)$.</t>
        </is>
      </c>
      <c r="H289" s="9" t="inlineStr">
        <is>
          <t>« Indépendance de deux événements. »</t>
        </is>
      </c>
      <c r="I289" s="9" t="n">
        <v>77</v>
      </c>
      <c r="J289" s="9" t="inlineStr"/>
      <c r="K289" s="11" t="n"/>
      <c r="L289" s="11" t="n"/>
    </row>
    <row r="290">
      <c r="A290" s="12" t="inlineStr">
        <is>
          <t>M289</t>
        </is>
      </c>
      <c r="B290" s="13" t="inlineStr">
        <is>
          <t>Orange – incertain</t>
        </is>
      </c>
      <c r="C290" s="12" t="inlineStr">
        <is>
          <t>BCPST1</t>
        </is>
      </c>
      <c r="D290" s="12" t="inlineStr">
        <is>
          <t>BCPST1 · Probabilités 1 – Concepts de base</t>
        </is>
      </c>
      <c r="E290" s="12" t="inlineStr">
        <is>
          <t>Définition</t>
        </is>
      </c>
      <c r="F290" s="13" t="inlineStr">
        <is>
          <t>Événements indépendants deux à deux</t>
        </is>
      </c>
      <c r="G290" s="12" t="inlineStr">
        <is>
          <t>Pour tous $i\neq j$ : $P(A_i\cap A_j)=P(A_i)P(A_j)$.</t>
        </is>
      </c>
      <c r="H290" s="12" t="inlineStr">
        <is>
          <t>Le programme cite « Événements (mutuellement) indépendants » ; l'indépendance « deux à deux » n'est pas mentionnée.</t>
        </is>
      </c>
      <c r="I290" s="12" t="n">
        <v>77</v>
      </c>
      <c r="J290" s="12" t="inlineStr"/>
      <c r="K290" s="14" t="n"/>
      <c r="L290" s="14" t="n"/>
    </row>
    <row r="291">
      <c r="A291" s="9" t="inlineStr">
        <is>
          <t>M290</t>
        </is>
      </c>
      <c r="B291" s="10" t="inlineStr">
        <is>
          <t>Noir – conforme</t>
        </is>
      </c>
      <c r="C291" s="9" t="inlineStr">
        <is>
          <t>BCPST1</t>
        </is>
      </c>
      <c r="D291" s="9" t="inlineStr">
        <is>
          <t>BCPST1 · Probabilités 1 – Concepts de base</t>
        </is>
      </c>
      <c r="E291" s="9" t="inlineStr">
        <is>
          <t>Définition</t>
        </is>
      </c>
      <c r="F291" s="10" t="inlineStr">
        <is>
          <t>Événements mutuellement indépendants</t>
        </is>
      </c>
      <c r="G291" s="9" t="inlineStr">
        <is>
          <t>Pour toute partie finie $J$ : $P\left(\bigcap_{j\in J}A_j\right)=\prod_{j\in J}P(A_j)$. Mutuelle indépendance $\Rightarrow$ indépendance deux à deux ; réciproque fausse.</t>
        </is>
      </c>
      <c r="H291" s="9" t="inlineStr">
        <is>
          <t>« Événements (mutuellement) indépendants. » ; BCPST2 : « d'une suite d'événements ».</t>
        </is>
      </c>
      <c r="I291" s="9" t="n">
        <v>77</v>
      </c>
      <c r="J291" s="9" t="inlineStr"/>
      <c r="K291" s="11" t="n"/>
      <c r="L291" s="11" t="n"/>
    </row>
    <row r="292">
      <c r="A292" s="9" t="inlineStr">
        <is>
          <t>M291</t>
        </is>
      </c>
      <c r="B292" s="10" t="inlineStr">
        <is>
          <t>Noir – conforme</t>
        </is>
      </c>
      <c r="C292" s="9" t="inlineStr">
        <is>
          <t>BCPST1</t>
        </is>
      </c>
      <c r="D292" s="9" t="inlineStr">
        <is>
          <t>BCPST1 · Probabilités 2 – Variables sur un univers fini</t>
        </is>
      </c>
      <c r="E292" s="9" t="inlineStr">
        <is>
          <t>Propriété</t>
        </is>
      </c>
      <c r="F292" s="10" t="inlineStr">
        <is>
          <t>Espérance et variance – Règles de calcul</t>
        </is>
      </c>
      <c r="G292" s="9" t="inlineStr">
        <is>
          <t>$E(aX+b)=aE(X)+b$ ; $V(aX+b)=a^2V(X)$.</t>
        </is>
      </c>
      <c r="H292" s="9" t="inlineStr">
        <is>
          <t>« V(aX + b) = a²V(X) » ; linéarité de l'espérance.</t>
        </is>
      </c>
      <c r="I292" s="9" t="n">
        <v>80</v>
      </c>
      <c r="J292" s="9" t="inlineStr"/>
      <c r="K292" s="11" t="n"/>
      <c r="L292" s="11" t="n"/>
    </row>
    <row r="293">
      <c r="A293" s="9" t="inlineStr">
        <is>
          <t>M292</t>
        </is>
      </c>
      <c r="B293" s="10" t="inlineStr">
        <is>
          <t>Noir – conforme</t>
        </is>
      </c>
      <c r="C293" s="9" t="inlineStr">
        <is>
          <t>BCPST1</t>
        </is>
      </c>
      <c r="D293" s="9" t="inlineStr">
        <is>
          <t>BCPST1 · Probabilités 2 – Variables sur un univers fini</t>
        </is>
      </c>
      <c r="E293" s="9" t="inlineStr">
        <is>
          <t>Propriété</t>
        </is>
      </c>
      <c r="F293" s="10" t="inlineStr">
        <is>
          <t>Loi quasi-certaine (certaine)</t>
        </is>
      </c>
      <c r="G293" s="9" t="inlineStr">
        <is>
          <t>$P(X=a)=1$ : $E(X)=a$, $V(X)=0$.</t>
        </is>
      </c>
      <c r="H293" s="9" t="inlineStr">
        <is>
          <t>« Espérance et variance d'une variable de loi certaine. »</t>
        </is>
      </c>
      <c r="I293" s="9" t="n">
        <v>80</v>
      </c>
      <c r="J293" s="9" t="inlineStr"/>
      <c r="K293" s="11" t="n"/>
      <c r="L293" s="11" t="n"/>
    </row>
    <row r="294">
      <c r="A294" s="9" t="inlineStr">
        <is>
          <t>M293</t>
        </is>
      </c>
      <c r="B294" s="10" t="inlineStr">
        <is>
          <t>Noir – conforme</t>
        </is>
      </c>
      <c r="C294" s="9" t="inlineStr">
        <is>
          <t>BCPST1</t>
        </is>
      </c>
      <c r="D294" s="9" t="inlineStr">
        <is>
          <t>BCPST1 · Probabilités 2 – Variables sur un univers fini</t>
        </is>
      </c>
      <c r="E294" s="9" t="inlineStr">
        <is>
          <t>Propriété</t>
        </is>
      </c>
      <c r="F294" s="10" t="inlineStr">
        <is>
          <t>Loi uniforme discrète</t>
        </is>
      </c>
      <c r="G294" s="9" t="inlineStr">
        <is>
          <t>$X\sim\mathcal U(A)$ : $P(X=a)=\frac1{\mathrm{Card}A}$ pour $a\in A$. Sur $[\![1,n]\!]$ : $E(X)=\frac{n+1}2$.</t>
        </is>
      </c>
      <c r="H294" s="9" t="inlineStr">
        <is>
          <t>« Espérance d'une variable de loi uniforme sur {1, …, n}. » (la variance : fiche séparée, hors programme)</t>
        </is>
      </c>
      <c r="I294" s="9" t="n">
        <v>80</v>
      </c>
      <c r="J294" s="9" t="inlineStr">
        <is>
          <t>Variance retirée (fiche séparée, hors programme)</t>
        </is>
      </c>
      <c r="K294" s="11" t="n"/>
      <c r="L294" s="11" t="n"/>
    </row>
    <row r="295">
      <c r="A295" s="15" t="inlineStr">
        <is>
          <t>M294</t>
        </is>
      </c>
      <c r="B295" s="16" t="inlineStr">
        <is>
          <t>Rouge – hors programme</t>
        </is>
      </c>
      <c r="C295" s="15" t="inlineStr">
        <is>
          <t>BCPST1</t>
        </is>
      </c>
      <c r="D295" s="15" t="inlineStr">
        <is>
          <t>BCPST1 · Probabilités 2 – Variables sur un univers fini</t>
        </is>
      </c>
      <c r="E295" s="15" t="inlineStr">
        <is>
          <t>Propriété</t>
        </is>
      </c>
      <c r="F295" s="16" t="inlineStr">
        <is>
          <t>Variance de la loi uniforme discrète</t>
        </is>
      </c>
      <c r="G295" s="15" t="inlineStr">
        <is>
          <t>Si $X\sim\mathcal U([\![1,n]\!])$ : $V(X)=\frac{n^2-1}{12}$.</t>
        </is>
      </c>
      <c r="H295" s="15" t="inlineStr">
        <is>
          <t>« La formule de la variance d'une variable de loi uniforme est hors programme. »</t>
        </is>
      </c>
      <c r="I295" s="15" t="n">
        <v>80</v>
      </c>
      <c r="J295" s="15" t="inlineStr">
        <is>
          <t>Fiche détachée d'un cadre de l'ouvrage (contenu partiellement hors programme)</t>
        </is>
      </c>
      <c r="K295" s="17" t="n"/>
      <c r="L295" s="17" t="n"/>
    </row>
    <row r="296">
      <c r="A296" s="9" t="inlineStr">
        <is>
          <t>M295</t>
        </is>
      </c>
      <c r="B296" s="10" t="inlineStr">
        <is>
          <t>Noir – conforme</t>
        </is>
      </c>
      <c r="C296" s="9" t="inlineStr">
        <is>
          <t>BCPST1</t>
        </is>
      </c>
      <c r="D296" s="9" t="inlineStr">
        <is>
          <t>BCPST1 · Probabilités 2 – Variables sur un univers fini</t>
        </is>
      </c>
      <c r="E296" s="9" t="inlineStr">
        <is>
          <t>Propriété</t>
        </is>
      </c>
      <c r="F296" s="10" t="inlineStr">
        <is>
          <t>Loi de Bernoulli</t>
        </is>
      </c>
      <c r="G296" s="9" t="inlineStr">
        <is>
          <t>$X\sim\mathcal B(p)$ : $X(\Omega)=\{0,1\}$, $P(X=1)=p$ ; $E(X)=p$, $V(X)=p(1-p)$. Modélise une épreuve à deux issues.</t>
        </is>
      </c>
      <c r="H296" s="9" t="inlineStr">
        <is>
          <t>« Espérance et variance … d'une variable de loi de Bernoulli. »</t>
        </is>
      </c>
      <c r="I296" s="9" t="n">
        <v>80</v>
      </c>
      <c r="J296" s="9" t="inlineStr"/>
      <c r="K296" s="11" t="n"/>
      <c r="L296" s="11" t="n"/>
    </row>
    <row r="297">
      <c r="A297" s="9" t="inlineStr">
        <is>
          <t>M296</t>
        </is>
      </c>
      <c r="B297" s="10" t="inlineStr">
        <is>
          <t>Noir – conforme</t>
        </is>
      </c>
      <c r="C297" s="9" t="inlineStr">
        <is>
          <t>BCPST1</t>
        </is>
      </c>
      <c r="D297" s="9" t="inlineStr">
        <is>
          <t>BCPST1 · Probabilités 2 – Variables sur un univers fini</t>
        </is>
      </c>
      <c r="E297" s="9" t="inlineStr">
        <is>
          <t>Propriété</t>
        </is>
      </c>
      <c r="F297" s="10" t="inlineStr">
        <is>
          <t>Loi binomiale</t>
        </is>
      </c>
      <c r="G297" s="9" t="inlineStr">
        <is>
          <t>$X\sim\mathcal B(n,p)$ : $P(X=k)=\binom nkp^k(1-p)^{n-k}$, $k\in[\![0,n]\!]$ ; $E(X)=np$, $V(X)=np(1-p)$. Nombre de succès en $n$ épreuves de Bernoulli indépendantes.</t>
        </is>
      </c>
      <c r="H297" s="9" t="inlineStr">
        <is>
          <t>« Espérance et variance … d'une variable de loi binomiale. Loi de la somme de n variables de Bernoulli indépendantes. »</t>
        </is>
      </c>
      <c r="I297" s="9" t="n">
        <v>81</v>
      </c>
      <c r="J297" s="9" t="inlineStr"/>
      <c r="K297" s="11" t="n"/>
      <c r="L297" s="11" t="n"/>
    </row>
    <row r="298">
      <c r="A298" s="12" t="inlineStr">
        <is>
          <t>M297</t>
        </is>
      </c>
      <c r="B298" s="13" t="inlineStr">
        <is>
          <t>Orange – incertain</t>
        </is>
      </c>
      <c r="C298" s="12" t="inlineStr">
        <is>
          <t>BCPST1</t>
        </is>
      </c>
      <c r="D298" s="12" t="inlineStr">
        <is>
          <t>BCPST1 · Probabilités 2 – Variables sur un univers fini</t>
        </is>
      </c>
      <c r="E298" s="12" t="inlineStr">
        <is>
          <t>Propriété</t>
        </is>
      </c>
      <c r="F298" s="13" t="inlineStr">
        <is>
          <t>Loi hypergéométrique</t>
        </is>
      </c>
      <c r="G298" s="12" t="inlineStr">
        <is>
          <t>$X\sim\mathcal H(N,n,p)$ : $P(X=k)=\dfrac{\binom{Np}{k}\binom{N(1-p)}{n-k}}{\binom Nn}$ ; $E(X)=np$, $V(X)=np(1-p)\frac{N-n}{N-1}$. Nombre de boules blanches en $n$ tirages sans remise.</t>
        </is>
      </c>
      <c r="H298" s="12" t="inlineStr">
        <is>
          <t>Programme muet : notion non mentionnée. (la loi hypergéométrique n'est pas citée)</t>
        </is>
      </c>
      <c r="I298" s="12" t="n">
        <v>81</v>
      </c>
      <c r="J298" s="12" t="inlineStr"/>
      <c r="K298" s="14" t="n"/>
      <c r="L298" s="14" t="n"/>
    </row>
    <row r="299">
      <c r="A299" s="9" t="inlineStr">
        <is>
          <t>M298</t>
        </is>
      </c>
      <c r="B299" s="10" t="inlineStr">
        <is>
          <t>Noir – conforme</t>
        </is>
      </c>
      <c r="C299" s="9" t="inlineStr">
        <is>
          <t>BCPST1</t>
        </is>
      </c>
      <c r="D299" s="9" t="inlineStr">
        <is>
          <t>BCPST1 · Probabilités 2 – Variables sur un univers fini</t>
        </is>
      </c>
      <c r="E299" s="9" t="inlineStr">
        <is>
          <t>Propriété</t>
        </is>
      </c>
      <c r="F299" s="10" t="inlineStr">
        <is>
          <t>Indépendance et fonctions de variables</t>
        </is>
      </c>
      <c r="G299" s="9" t="inlineStr">
        <is>
          <t>Si $X$ et $Y$ sont indépendantes, $f(X)$ et $g(Y)$ le sont aussi.</t>
        </is>
      </c>
      <c r="H299" s="9" t="inlineStr">
        <is>
          <t>« Si X et Y sont deux variables aléatoires indépendantes, alors u(X) et v(Y) sont indépendantes. Résultat admis. »</t>
        </is>
      </c>
      <c r="I299" s="9" t="n">
        <v>85</v>
      </c>
      <c r="J299" s="9" t="inlineStr"/>
      <c r="K299" s="11" t="n"/>
      <c r="L299" s="11" t="n"/>
    </row>
    <row r="300">
      <c r="A300" s="12" t="inlineStr">
        <is>
          <t>M299</t>
        </is>
      </c>
      <c r="B300" s="13" t="inlineStr">
        <is>
          <t>Orange – incertain</t>
        </is>
      </c>
      <c r="C300" s="12" t="inlineStr">
        <is>
          <t>BCPST1</t>
        </is>
      </c>
      <c r="D300" s="12" t="inlineStr">
        <is>
          <t>BCPST1 · Probabilités 2 – Variables sur un univers fini</t>
        </is>
      </c>
      <c r="E300" s="12" t="inlineStr">
        <is>
          <t>Propriété</t>
        </is>
      </c>
      <c r="F300" s="13" t="inlineStr">
        <is>
          <t>Stabilité de la loi binomiale</t>
        </is>
      </c>
      <c r="G300" s="12" t="inlineStr">
        <is>
          <t>$X\sim\mathcal B(n_1,p)$, $Y\sim\mathcal B(n_2,p)$ indépendantes $\Rightarrow X+Y\sim\mathcal B(n_1+n_2,p)$.</t>
        </is>
      </c>
      <c r="H300" s="12" t="inlineStr">
        <is>
          <t>Non cité comme tel ; seulement « Loi de la somme de n variables de Bernoulli indépendantes et de même paramètre ».</t>
        </is>
      </c>
      <c r="I300" s="12" t="n">
        <v>85</v>
      </c>
      <c r="J300" s="12" t="inlineStr"/>
      <c r="K300" s="14" t="n"/>
      <c r="L300" s="14" t="n"/>
    </row>
    <row r="301">
      <c r="A301" s="9" t="inlineStr">
        <is>
          <t>M300</t>
        </is>
      </c>
      <c r="B301" s="10" t="inlineStr">
        <is>
          <t>Noir – conforme</t>
        </is>
      </c>
      <c r="C301" s="9" t="inlineStr">
        <is>
          <t>BCPST2</t>
        </is>
      </c>
      <c r="D301" s="9" t="inlineStr">
        <is>
          <t>BCPST2 · Analyse 1 – Séries réelles</t>
        </is>
      </c>
      <c r="E301" s="9" t="inlineStr">
        <is>
          <t>Définition</t>
        </is>
      </c>
      <c r="F301" s="10" t="inlineStr">
        <is>
          <t>Séries numériques – Définition</t>
        </is>
      </c>
      <c r="G301" s="9" t="inlineStr">
        <is>
          <t>Sommes partielles $S_n=\sum_{k=0}^nu_k$ ; $\sum u_n$ converge si $(S_n)$ converge, et alors $\sum_{n=0}^{+\infty}u_n=\lim S_n$.</t>
        </is>
      </c>
      <c r="H301" s="9" t="inlineStr">
        <is>
          <t>« Sommes partielles, convergence d'une série, somme d'une série convergente. »</t>
        </is>
      </c>
      <c r="I301" s="9" t="n">
        <v>44</v>
      </c>
      <c r="J301" s="9" t="inlineStr"/>
      <c r="K301" s="11" t="n"/>
      <c r="L301" s="11" t="n"/>
    </row>
    <row r="302">
      <c r="A302" s="12" t="inlineStr">
        <is>
          <t>M301</t>
        </is>
      </c>
      <c r="B302" s="13" t="inlineStr">
        <is>
          <t>Orange – incertain</t>
        </is>
      </c>
      <c r="C302" s="12" t="inlineStr">
        <is>
          <t>BCPST2</t>
        </is>
      </c>
      <c r="D302" s="12" t="inlineStr">
        <is>
          <t>BCPST2 · Analyse 1 – Séries réelles</t>
        </is>
      </c>
      <c r="E302" s="12" t="inlineStr">
        <is>
          <t>Théorème</t>
        </is>
      </c>
      <c r="F302" s="13" t="inlineStr">
        <is>
          <t>Condition nécessaire de convergence</t>
        </is>
      </c>
      <c r="G302" s="12" t="inlineStr">
        <is>
          <t>Si $\sum u_n$ converge, alors $u_n\to0$ ; réciproque fausse.</t>
        </is>
      </c>
      <c r="H302" s="12" t="inlineStr">
        <is>
          <t>Programme muet : notion non mentionnée. (la divergence grossière n'est pas citée)</t>
        </is>
      </c>
      <c r="I302" s="12" t="n">
        <v>44</v>
      </c>
      <c r="J302" s="12" t="inlineStr"/>
      <c r="K302" s="14" t="n"/>
      <c r="L302" s="14" t="n"/>
    </row>
    <row r="303">
      <c r="A303" s="15" t="inlineStr">
        <is>
          <t>M302</t>
        </is>
      </c>
      <c r="B303" s="16" t="inlineStr">
        <is>
          <t>Rouge – hors programme</t>
        </is>
      </c>
      <c r="C303" s="15" t="inlineStr">
        <is>
          <t>BCPST2</t>
        </is>
      </c>
      <c r="D303" s="15" t="inlineStr">
        <is>
          <t>BCPST2 · Analyse 1 – Séries réelles</t>
        </is>
      </c>
      <c r="E303" s="15" t="inlineStr">
        <is>
          <t>Théorème</t>
        </is>
      </c>
      <c r="F303" s="16" t="inlineStr">
        <is>
          <t>Séries à termes positifs : critère de convergence</t>
        </is>
      </c>
      <c r="G303" s="15" t="inlineStr">
        <is>
          <t>Si $u_n\ge0$ : $\sum u_n$ converge $\iff(S_n)$ est majorée.</t>
        </is>
      </c>
      <c r="H303" s="15" t="inlineStr">
        <is>
          <t>« Les résultats relatifs aux restes et sommes partielles sont hors programme. » ; « Tout autre critère de convergence est hors programme. »</t>
        </is>
      </c>
      <c r="I303" s="15" t="n">
        <v>44</v>
      </c>
      <c r="J303" s="15" t="inlineStr">
        <is>
          <t>ERREUR DANS L'OUVRAGE : il énonce ce critère pour toute série ; il n'est valable que pour les séries à termes positifs (titre de l'ouvrage : « Condition nécessaire et suffisante de convergence »)</t>
        </is>
      </c>
      <c r="K303" s="17" t="n"/>
      <c r="L303" s="17" t="n"/>
    </row>
    <row r="304">
      <c r="A304" s="15" t="inlineStr">
        <is>
          <t>M303</t>
        </is>
      </c>
      <c r="B304" s="16" t="inlineStr">
        <is>
          <t>Rouge – hors programme</t>
        </is>
      </c>
      <c r="C304" s="15" t="inlineStr">
        <is>
          <t>BCPST2</t>
        </is>
      </c>
      <c r="D304" s="15" t="inlineStr">
        <is>
          <t>BCPST2 · Analyse 1 – Séries réelles</t>
        </is>
      </c>
      <c r="E304" s="15" t="inlineStr">
        <is>
          <t>Propriété</t>
        </is>
      </c>
      <c r="F304" s="16" t="inlineStr">
        <is>
          <t>Reste d'une série numérique</t>
        </is>
      </c>
      <c r="G304" s="15" t="inlineStr">
        <is>
          <t>Si $\sum u_n$ converge, son reste $R_n=\sum_{k=n+1}^{+\infty}u_k$ tend vers 0.</t>
        </is>
      </c>
      <c r="H304" s="15" t="inlineStr">
        <is>
          <t>« La notion de reste d'une série est hors programme. »</t>
        </is>
      </c>
      <c r="I304" s="15" t="n">
        <v>45</v>
      </c>
      <c r="J304" s="15" t="inlineStr">
        <is>
          <t>ERREUR DANS L'OUVRAGE : il définit $R_n=\sum_{k=0}^nu_k$ (c'est la somme partielle) ; corrigé ici</t>
        </is>
      </c>
      <c r="K304" s="17" t="n"/>
      <c r="L304" s="17" t="n"/>
    </row>
    <row r="305">
      <c r="A305" s="9" t="inlineStr">
        <is>
          <t>M304</t>
        </is>
      </c>
      <c r="B305" s="10" t="inlineStr">
        <is>
          <t>Noir – conforme</t>
        </is>
      </c>
      <c r="C305" s="9" t="inlineStr">
        <is>
          <t>BCPST2</t>
        </is>
      </c>
      <c r="D305" s="9" t="inlineStr">
        <is>
          <t>BCPST2 · Analyse 1 – Séries réelles</t>
        </is>
      </c>
      <c r="E305" s="9" t="inlineStr">
        <is>
          <t>Propriété</t>
        </is>
      </c>
      <c r="F305" s="10" t="inlineStr">
        <is>
          <t>Séries numériques – Linéarité</t>
        </is>
      </c>
      <c r="G305" s="9" t="inlineStr">
        <is>
          <t>Si $\sum u_n$ et $\sum v_n$ convergent : $\sum(\lambda u_n+\mu v_n)$ converge et sa somme vaut $\lambda\sum u_n+\mu\sum v_n$.</t>
        </is>
      </c>
      <c r="H305" s="9" t="inlineStr">
        <is>
          <t>« Combinaison linéaire de séries convergentes. »</t>
        </is>
      </c>
      <c r="I305" s="9" t="n">
        <v>45</v>
      </c>
      <c r="J305" s="9" t="inlineStr"/>
      <c r="K305" s="11" t="n"/>
      <c r="L305" s="11" t="n"/>
    </row>
    <row r="306">
      <c r="A306" s="9" t="inlineStr">
        <is>
          <t>M305</t>
        </is>
      </c>
      <c r="B306" s="10" t="inlineStr">
        <is>
          <t>Noir – conforme</t>
        </is>
      </c>
      <c r="C306" s="9" t="inlineStr">
        <is>
          <t>BCPST2</t>
        </is>
      </c>
      <c r="D306" s="9" t="inlineStr">
        <is>
          <t>BCPST2 · Analyse 1 – Séries réelles</t>
        </is>
      </c>
      <c r="E306" s="9" t="inlineStr">
        <is>
          <t>Définition</t>
        </is>
      </c>
      <c r="F306" s="10" t="inlineStr">
        <is>
          <t>Série absolument convergente – Définition</t>
        </is>
      </c>
      <c r="G306" s="9" t="inlineStr">
        <is>
          <t>$\sum u_n$ converge absolument si $\sum|u_n|$ converge.</t>
        </is>
      </c>
      <c r="H306" s="9" t="inlineStr">
        <is>
          <t>« Convergence absolue. »</t>
        </is>
      </c>
      <c r="I306" s="9" t="n">
        <v>45</v>
      </c>
      <c r="J306" s="9" t="inlineStr"/>
      <c r="K306" s="11" t="n"/>
      <c r="L306" s="11" t="n"/>
    </row>
    <row r="307">
      <c r="A307" s="9" t="inlineStr">
        <is>
          <t>M306</t>
        </is>
      </c>
      <c r="B307" s="10" t="inlineStr">
        <is>
          <t>Noir – conforme</t>
        </is>
      </c>
      <c r="C307" s="9" t="inlineStr">
        <is>
          <t>BCPST2</t>
        </is>
      </c>
      <c r="D307" s="9" t="inlineStr">
        <is>
          <t>BCPST2 · Analyse 1 – Séries réelles</t>
        </is>
      </c>
      <c r="E307" s="9" t="inlineStr">
        <is>
          <t>Théorème</t>
        </is>
      </c>
      <c r="F307" s="10" t="inlineStr">
        <is>
          <t>Série absolument convergente – Propriété</t>
        </is>
      </c>
      <c r="G307" s="9" t="inlineStr">
        <is>
          <t>Une série absolument convergente est convergente.</t>
        </is>
      </c>
      <c r="H307" s="9" t="inlineStr">
        <is>
          <t>« La convergence absolue est présentée comme une condition suffisante pour obtenir la convergence de la série. »</t>
        </is>
      </c>
      <c r="I307" s="9" t="n">
        <v>45</v>
      </c>
      <c r="J307" s="9" t="inlineStr"/>
      <c r="K307" s="11" t="n"/>
      <c r="L307" s="11" t="n"/>
    </row>
    <row r="308">
      <c r="A308" s="9" t="inlineStr">
        <is>
          <t>M307</t>
        </is>
      </c>
      <c r="B308" s="10" t="inlineStr">
        <is>
          <t>Noir – conforme</t>
        </is>
      </c>
      <c r="C308" s="9" t="inlineStr">
        <is>
          <t>BCPST2</t>
        </is>
      </c>
      <c r="D308" s="9" t="inlineStr">
        <is>
          <t>BCPST2 · Analyse 1 – Séries réelles</t>
        </is>
      </c>
      <c r="E308" s="9" t="inlineStr">
        <is>
          <t>Théorème</t>
        </is>
      </c>
      <c r="F308" s="10" t="inlineStr">
        <is>
          <t>Critère de comparaison (séries)</t>
        </is>
      </c>
      <c r="G308" s="9" t="inlineStr">
        <is>
          <t>Si $0\le u_n\le v_n$ à partir d'un rang : $\sum v_n$ converge $\Rightarrow\sum u_n$ converge ; $\sum u_n$ diverge $\Rightarrow\sum v_n$ diverge. Si $|u_n|\le v_n$ et $\sum v_n$ converge, $\sum u_n$ converge absolument.</t>
        </is>
      </c>
      <c r="H308" s="9" t="inlineStr">
        <is>
          <t>« théorème de comparaison si uₙ ≤ vₙ à partir d'un certain rang » (séries à termes positifs).</t>
        </is>
      </c>
      <c r="I308" s="9" t="n">
        <v>45</v>
      </c>
      <c r="J308" s="9" t="inlineStr"/>
      <c r="K308" s="11" t="n"/>
      <c r="L308" s="11" t="n"/>
    </row>
    <row r="309">
      <c r="A309" s="9" t="inlineStr">
        <is>
          <t>M308</t>
        </is>
      </c>
      <c r="B309" s="10" t="inlineStr">
        <is>
          <t>Noir – conforme</t>
        </is>
      </c>
      <c r="C309" s="9" t="inlineStr">
        <is>
          <t>BCPST2</t>
        </is>
      </c>
      <c r="D309" s="9" t="inlineStr">
        <is>
          <t>BCPST2 · Analyse 1 – Séries réelles</t>
        </is>
      </c>
      <c r="E309" s="9" t="inlineStr">
        <is>
          <t>Propriété</t>
        </is>
      </c>
      <c r="F309" s="10" t="inlineStr">
        <is>
          <t>Séries géométriques</t>
        </is>
      </c>
      <c r="G309" s="9" t="inlineStr">
        <is>
          <t>$\sum q^n$ converge $\iff|q|&lt;1$, et $\sum_{n\ge0}q^n=\frac1{1-q}$. Pour $|q|&lt;1$ : $\sum_{n\ge0}nq^{n}=\frac{q}{(1-q)^2}$ (ou $\sum_{n\ge1}nq^{n-1}=\frac1{(1-q)^2}$) ; $\sum_{n\ge0}n^2q^n=\frac{q(1+q)}{(1-q)^3}$.</t>
        </is>
      </c>
      <c r="H309" s="9" t="inlineStr">
        <is>
          <t>« Convergence et somme de la série géométrique (|q|&lt;1) et des séries « dérivées » Σnqⁿ⁻¹ et Σn(n−1)qⁿ⁻². » (Σn²qⁿ s'en déduit, non citée)</t>
        </is>
      </c>
      <c r="I309" s="9" t="n">
        <v>45</v>
      </c>
      <c r="J309" s="9" t="inlineStr">
        <is>
          <t>ERREUR DANS L'OUVRAGE : il donne $\sum n^2q^n=\frac{q^2+q}{(1-q)^2}$ ; le bon dénominateur est $(1-q)^3$</t>
        </is>
      </c>
      <c r="K309" s="11" t="n"/>
      <c r="L309" s="11" t="n"/>
    </row>
    <row r="310">
      <c r="A310" s="9" t="inlineStr">
        <is>
          <t>M309</t>
        </is>
      </c>
      <c r="B310" s="10" t="inlineStr">
        <is>
          <t>Noir – conforme</t>
        </is>
      </c>
      <c r="C310" s="9" t="inlineStr">
        <is>
          <t>BCPST2</t>
        </is>
      </c>
      <c r="D310" s="9" t="inlineStr">
        <is>
          <t>BCPST2 · Analyse 1 – Séries réelles</t>
        </is>
      </c>
      <c r="E310" s="9" t="inlineStr">
        <is>
          <t>Propriété</t>
        </is>
      </c>
      <c r="F310" s="10" t="inlineStr">
        <is>
          <t>Série exponentielle</t>
        </is>
      </c>
      <c r="G310" s="9" t="inlineStr">
        <is>
          <t>Pour tout $x\in\mathbb R$ : $\sum_{n=0}^{+\infty}\frac{x^n}{n!}=e^x$.</t>
        </is>
      </c>
      <c r="H310" s="9" t="inlineStr">
        <is>
          <t>« Convergence et somme de la série exponentielle. Résultat admis. »</t>
        </is>
      </c>
      <c r="I310" s="9" t="n">
        <v>45</v>
      </c>
      <c r="J310" s="9" t="inlineStr"/>
      <c r="K310" s="11" t="n"/>
      <c r="L310" s="11" t="n"/>
    </row>
    <row r="311">
      <c r="A311" s="9" t="inlineStr">
        <is>
          <t>M310</t>
        </is>
      </c>
      <c r="B311" s="10" t="inlineStr">
        <is>
          <t>Noir – conforme</t>
        </is>
      </c>
      <c r="C311" s="9" t="inlineStr">
        <is>
          <t>BCPST2</t>
        </is>
      </c>
      <c r="D311" s="9" t="inlineStr">
        <is>
          <t>BCPST2 · Analyse 2 – Intégrales généralisées</t>
        </is>
      </c>
      <c r="E311" s="9" t="inlineStr">
        <is>
          <t>Définition</t>
        </is>
      </c>
      <c r="F311" s="10" t="inlineStr">
        <is>
          <t>Intégrales généralisées – Définition</t>
        </is>
      </c>
      <c r="G311" s="9" t="inlineStr">
        <is>
          <t>Pour $f$ continue par morceaux sur $[a,b[$ : $\int_a^bf$ converge si $\lim_{x\to b^-}\int_a^xf$ existe et est finie ; c'est alors sa valeur. Sinon elle diverge.</t>
        </is>
      </c>
      <c r="H311" s="9" t="inlineStr">
        <is>
          <t>« Convergence d'une intégrale généralisée … traduite en termes de limites portant sur une primitive. »</t>
        </is>
      </c>
      <c r="I311" s="9" t="n">
        <v>41</v>
      </c>
      <c r="J311" s="9" t="inlineStr"/>
      <c r="K311" s="11" t="n"/>
      <c r="L311" s="11" t="n"/>
    </row>
    <row r="312">
      <c r="A312" s="9" t="inlineStr">
        <is>
          <t>M311</t>
        </is>
      </c>
      <c r="B312" s="10" t="inlineStr">
        <is>
          <t>Noir – conforme</t>
        </is>
      </c>
      <c r="C312" s="9" t="inlineStr">
        <is>
          <t>BCPST2</t>
        </is>
      </c>
      <c r="D312" s="9" t="inlineStr">
        <is>
          <t>BCPST2 · Analyse 2 – Intégrales généralisées</t>
        </is>
      </c>
      <c r="E312" s="9" t="inlineStr">
        <is>
          <t>Propriété</t>
        </is>
      </c>
      <c r="F312" s="10" t="inlineStr">
        <is>
          <t>Intégrales généralisées – Propriété</t>
        </is>
      </c>
      <c r="G312" s="9" t="inlineStr">
        <is>
          <t>Pour des intégrales convergentes : relation de Chasles, positivité, linéarité, croissance.</t>
        </is>
      </c>
      <c r="H312" s="9" t="inlineStr">
        <is>
          <t>« Propriétés des intégrales convergentes : linéarité, relation de Chasles, positivité, stricte positivité, croissance. »</t>
        </is>
      </c>
      <c r="I312" s="9" t="n">
        <v>41</v>
      </c>
      <c r="J312" s="9" t="inlineStr"/>
      <c r="K312" s="11" t="n"/>
      <c r="L312" s="11" t="n"/>
    </row>
    <row r="313">
      <c r="A313" s="9" t="inlineStr">
        <is>
          <t>M312</t>
        </is>
      </c>
      <c r="B313" s="10" t="inlineStr">
        <is>
          <t>Noir – conforme</t>
        </is>
      </c>
      <c r="C313" s="9" t="inlineStr">
        <is>
          <t>BCPST2</t>
        </is>
      </c>
      <c r="D313" s="9" t="inlineStr">
        <is>
          <t>BCPST2 · Analyse 2 – Intégrales généralisées</t>
        </is>
      </c>
      <c r="E313" s="9" t="inlineStr">
        <is>
          <t>Définition</t>
        </is>
      </c>
      <c r="F313" s="10" t="inlineStr">
        <is>
          <t>Intégrale absolument convergente – Définition</t>
        </is>
      </c>
      <c r="G313" s="9" t="inlineStr">
        <is>
          <t>$\int_a^bf$ converge absolument si $\int_a^b|f|$ converge.</t>
        </is>
      </c>
      <c r="H313" s="9" t="inlineStr">
        <is>
          <t>« Convergence absolue d'une intégrale généralisée. »</t>
        </is>
      </c>
      <c r="I313" s="9" t="n">
        <v>42</v>
      </c>
      <c r="J313" s="9" t="inlineStr"/>
      <c r="K313" s="11" t="n"/>
      <c r="L313" s="11" t="n"/>
    </row>
    <row r="314">
      <c r="A314" s="9" t="inlineStr">
        <is>
          <t>M313</t>
        </is>
      </c>
      <c r="B314" s="10" t="inlineStr">
        <is>
          <t>Noir – conforme</t>
        </is>
      </c>
      <c r="C314" s="9" t="inlineStr">
        <is>
          <t>BCPST2</t>
        </is>
      </c>
      <c r="D314" s="9" t="inlineStr">
        <is>
          <t>BCPST2 · Analyse 2 – Intégrales généralisées</t>
        </is>
      </c>
      <c r="E314" s="9" t="inlineStr">
        <is>
          <t>Théorème</t>
        </is>
      </c>
      <c r="F314" s="10" t="inlineStr">
        <is>
          <t>Intégrale absolument convergente – Propriété</t>
        </is>
      </c>
      <c r="G314" s="9" t="inlineStr">
        <is>
          <t>Une intégrale absolument convergente est convergente.</t>
        </is>
      </c>
      <c r="H314" s="9" t="inlineStr">
        <is>
          <t>« La convergence absolue est présentée comme une condition suffisante pour obtenir la convergence. »</t>
        </is>
      </c>
      <c r="I314" s="9" t="n">
        <v>42</v>
      </c>
      <c r="J314" s="9" t="inlineStr"/>
      <c r="K314" s="11" t="n"/>
      <c r="L314" s="11" t="n"/>
    </row>
    <row r="315">
      <c r="A315" s="9" t="inlineStr">
        <is>
          <t>M314</t>
        </is>
      </c>
      <c r="B315" s="10" t="inlineStr">
        <is>
          <t>Noir – conforme</t>
        </is>
      </c>
      <c r="C315" s="9" t="inlineStr">
        <is>
          <t>BCPST2</t>
        </is>
      </c>
      <c r="D315" s="9" t="inlineStr">
        <is>
          <t>BCPST2 · Analyse 2 – Intégrales généralisées</t>
        </is>
      </c>
      <c r="E315" s="9" t="inlineStr">
        <is>
          <t>Théorème</t>
        </is>
      </c>
      <c r="F315" s="10" t="inlineStr">
        <is>
          <t>Critère de comparaison (intégrales)</t>
        </is>
      </c>
      <c r="G315" s="9" t="inlineStr">
        <is>
          <t>Si $0\le f\le g$ sur $[a,b[$ : $\int g$ converge $\Rightarrow\int f$ converge ; $\int f$ diverge $\Rightarrow\int g$ diverge. Si $|f|\le g$ et $\int g$ converge, $\int f$ converge absolument.</t>
        </is>
      </c>
      <c r="H315" s="9" t="inlineStr">
        <is>
          <t>« Théorèmes de convergence pour deux fonctions positives : comparaison si f ≤ g, … équivalents. Tout autre critère … hors programme. »</t>
        </is>
      </c>
      <c r="I315" s="9" t="n">
        <v>42</v>
      </c>
      <c r="J315" s="9" t="inlineStr"/>
      <c r="K315" s="11" t="n"/>
      <c r="L315" s="11" t="n"/>
    </row>
    <row r="316">
      <c r="A316" s="9" t="inlineStr">
        <is>
          <t>M315</t>
        </is>
      </c>
      <c r="B316" s="10" t="inlineStr">
        <is>
          <t>Noir – conforme</t>
        </is>
      </c>
      <c r="C316" s="9" t="inlineStr">
        <is>
          <t>BCPST2</t>
        </is>
      </c>
      <c r="D316" s="9" t="inlineStr">
        <is>
          <t>BCPST2 · Analyse 2 – Intégrales généralisées</t>
        </is>
      </c>
      <c r="E316" s="9" t="inlineStr">
        <is>
          <t>Propriété</t>
        </is>
      </c>
      <c r="F316" s="10" t="inlineStr">
        <is>
          <t>Intégrale de Gauss</t>
        </is>
      </c>
      <c r="G316" s="9" t="inlineStr">
        <is>
          <t>$\int_{-\infty}^{+\infty}e^{-x^2/2}\,dx=\sqrt{2\pi}$.</t>
        </is>
      </c>
      <c r="H316" s="9" t="inlineStr">
        <is>
          <t>« L'intégrale ∫ e^{−x²/2} dx converge et vaut √(2π). La valeur de cette intégrale est un résultat admis. »</t>
        </is>
      </c>
      <c r="I316" s="9" t="n">
        <v>90</v>
      </c>
      <c r="J316" s="9" t="inlineStr"/>
      <c r="K316" s="11" t="n"/>
      <c r="L316" s="11" t="n"/>
    </row>
    <row r="317">
      <c r="A317" s="9" t="inlineStr">
        <is>
          <t>M316</t>
        </is>
      </c>
      <c r="B317" s="10" t="inlineStr">
        <is>
          <t>Noir – conforme</t>
        </is>
      </c>
      <c r="C317" s="9" t="inlineStr">
        <is>
          <t>BCPST2</t>
        </is>
      </c>
      <c r="D317" s="9" t="inlineStr">
        <is>
          <t>BCPST2 · Algèbre – Polynômes</t>
        </is>
      </c>
      <c r="E317" s="9" t="inlineStr">
        <is>
          <t>Définition</t>
        </is>
      </c>
      <c r="F317" s="10" t="inlineStr">
        <is>
          <t>Polynôme</t>
        </is>
      </c>
      <c r="G317" s="9" t="inlineStr">
        <is>
          <t>$\mathbb K[X]$ ($\mathbb K=\mathbb R$ ou $\mathbb C$) : tout polynôme s'écrit $P=\sum_{n}a_nX^n$, avec des coefficients $a_n\in\mathbb K$ tous nuls sauf un nombre fini.</t>
        </is>
      </c>
      <c r="H317" s="9" t="inlineStr">
        <is>
          <t>« notation X pour l'application x ↦ x … On introduit les polynômes à coefficients dans C ». En BCPST1, polynômes uniquement comme fonctions de R dans R ; « polynôme en tant qu'objet formel … hors programme ».</t>
        </is>
      </c>
      <c r="I317" s="9" t="n">
        <v>3</v>
      </c>
      <c r="J317" s="9" t="inlineStr"/>
      <c r="K317" s="11" t="n"/>
      <c r="L317" s="11" t="n"/>
    </row>
    <row r="318">
      <c r="A318" s="9" t="inlineStr">
        <is>
          <t>M317</t>
        </is>
      </c>
      <c r="B318" s="10" t="inlineStr">
        <is>
          <t>Noir – conforme</t>
        </is>
      </c>
      <c r="C318" s="9" t="inlineStr">
        <is>
          <t>BCPST2</t>
        </is>
      </c>
      <c r="D318" s="9" t="inlineStr">
        <is>
          <t>BCPST2 · Algèbre – Polynômes</t>
        </is>
      </c>
      <c r="E318" s="9" t="inlineStr">
        <is>
          <t>Définition</t>
        </is>
      </c>
      <c r="F318" s="10" t="inlineStr">
        <is>
          <t>Racine d'un polynôme</t>
        </is>
      </c>
      <c r="G318" s="9" t="inlineStr">
        <is>
          <t>$\alpha\in\mathbb K$ est racine de $P$ si $P(\alpha)=0$.</t>
        </is>
      </c>
      <c r="H318" s="9" t="inlineStr">
        <is>
          <t>« Définition d'une racine α d'un polynôme P : P(α) = 0. »</t>
        </is>
      </c>
      <c r="I318" s="9" t="n">
        <v>3</v>
      </c>
      <c r="J318" s="9" t="inlineStr"/>
      <c r="K318" s="11" t="n"/>
      <c r="L318" s="11" t="n"/>
    </row>
    <row r="319">
      <c r="A319" s="12" t="inlineStr">
        <is>
          <t>M318</t>
        </is>
      </c>
      <c r="B319" s="13" t="inlineStr">
        <is>
          <t>Orange – incertain</t>
        </is>
      </c>
      <c r="C319" s="12" t="inlineStr">
        <is>
          <t>BCPST2</t>
        </is>
      </c>
      <c r="D319" s="12" t="inlineStr">
        <is>
          <t>BCPST2 · Algèbre – Polynômes</t>
        </is>
      </c>
      <c r="E319" s="12" t="inlineStr">
        <is>
          <t>Propriété</t>
        </is>
      </c>
      <c r="F319" s="13" t="inlineStr">
        <is>
          <t>Factorisation par les racines</t>
        </is>
      </c>
      <c r="G319" s="12" t="inlineStr">
        <is>
          <t>Si $(\alpha_i)_{i\in I}$ sont les racines distinctes de $P$, de multiplicités $m_i$, alors $P=Q\prod_{i\in I}(X-\alpha_i)^{m_i}$, où $Q$ n'a pas de racine dans $\mathbb K$.</t>
        </is>
      </c>
      <c r="H319" s="12" t="inlineStr">
        <is>
          <t>Le programme dit « α racine ⇔ P = (X−α)Q » et « Généralisation à plusieurs racines distinctes ». La factorisation avec multiplicités n'est pas formulée explicitement.</t>
        </is>
      </c>
      <c r="I319" s="12" t="n">
        <v>4</v>
      </c>
      <c r="J319" s="12" t="inlineStr">
        <is>
          <t>Titre du cadre coupé par la capture : intitulé reconstitué</t>
        </is>
      </c>
      <c r="K319" s="14" t="n"/>
      <c r="L319" s="14" t="n"/>
    </row>
    <row r="320">
      <c r="A320" s="9" t="inlineStr">
        <is>
          <t>M319</t>
        </is>
      </c>
      <c r="B320" s="10" t="inlineStr">
        <is>
          <t>Noir – conforme</t>
        </is>
      </c>
      <c r="C320" s="9" t="inlineStr">
        <is>
          <t>BCPST2</t>
        </is>
      </c>
      <c r="D320" s="9" t="inlineStr">
        <is>
          <t>BCPST2 · Algèbre – Polynômes</t>
        </is>
      </c>
      <c r="E320" s="9" t="inlineStr">
        <is>
          <t>Définition</t>
        </is>
      </c>
      <c r="F320" s="10" t="inlineStr">
        <is>
          <t>Multiplicité d'une racine – Définition</t>
        </is>
      </c>
      <c r="G320" s="9" t="inlineStr">
        <is>
          <t>$a$ est racine de multiplicité $m$ de $P$ si $(X-a)^m$ divise $P$ et $(X-a)^{m+1}$ ne divise pas $P$ (multiplicité 0 si $a$ n'est pas racine).</t>
        </is>
      </c>
      <c r="H320" s="9" t="inlineStr">
        <is>
          <t>« Ordre de multiplicité d'une racine. » (la caractérisation par les dérivées n'est pas un attendu en BCPST2)</t>
        </is>
      </c>
      <c r="I320" s="9" t="n">
        <v>4</v>
      </c>
      <c r="J320" s="9" t="inlineStr"/>
      <c r="K320" s="11" t="n"/>
      <c r="L320" s="11" t="n"/>
    </row>
    <row r="321">
      <c r="A321" s="12" t="inlineStr">
        <is>
          <t>M320</t>
        </is>
      </c>
      <c r="B321" s="13" t="inlineStr">
        <is>
          <t>Orange – incertain</t>
        </is>
      </c>
      <c r="C321" s="12" t="inlineStr">
        <is>
          <t>BCPST2</t>
        </is>
      </c>
      <c r="D321" s="12" t="inlineStr">
        <is>
          <t>BCPST2 · Algèbre – Polynômes</t>
        </is>
      </c>
      <c r="E321" s="12" t="inlineStr">
        <is>
          <t>Définition</t>
        </is>
      </c>
      <c r="F321" s="13" t="inlineStr">
        <is>
          <t>Polynôme scindé</t>
        </is>
      </c>
      <c r="G321" s="12" t="inlineStr">
        <is>
          <t>$P$ est scindé sur $\mathbb K$ s'il existe $\lambda\in\mathbb K^*$ et $x_1,\dots,x_n\in\mathbb K$ (non nécessairement distincts) tels que $P=\lambda\prod_{i=1}^n(X-x_i)$.</t>
        </is>
      </c>
      <c r="H321" s="12" t="inlineStr">
        <is>
          <t>Le mot « scindé » n'apparaît pas dans le programme ; la factorisation dans C[X] y est.</t>
        </is>
      </c>
      <c r="I321" s="12" t="n">
        <v>4</v>
      </c>
      <c r="J321" s="12" t="inlineStr"/>
      <c r="K321" s="14" t="n"/>
      <c r="L321" s="14" t="n"/>
    </row>
    <row r="322">
      <c r="A322" s="9" t="inlineStr">
        <is>
          <t>M321</t>
        </is>
      </c>
      <c r="B322" s="10" t="inlineStr">
        <is>
          <t>Noir – conforme</t>
        </is>
      </c>
      <c r="C322" s="9" t="inlineStr">
        <is>
          <t>BCPST2</t>
        </is>
      </c>
      <c r="D322" s="9" t="inlineStr">
        <is>
          <t>BCPST2 · Algèbre – Polynômes</t>
        </is>
      </c>
      <c r="E322" s="9" t="inlineStr">
        <is>
          <t>Théorème</t>
        </is>
      </c>
      <c r="F322" s="10" t="inlineStr">
        <is>
          <t>Décomposition d'un polynôme dans ℂ[X]</t>
        </is>
      </c>
      <c r="G322" s="9" t="inlineStr">
        <is>
          <t>Tout polynôme non constant de $\mathbb C[X]$ est scindé : $P=\lambda\prod_{i=1}^n(X-x_i)^{\alpha_i}$ avec $\lambda\in\mathbb C^*$, $x_i$ racines distinctes, $\alpha_i\in\mathbb N^*$ ; décomposition unique à l'ordre près.</t>
        </is>
      </c>
      <c r="H322" s="9" t="inlineStr">
        <is>
          <t>« Théorème de d'Alembert-Gauss. Factorisation dans C[X]. Ce théorème est admis. »</t>
        </is>
      </c>
      <c r="I322" s="9" t="n">
        <v>4</v>
      </c>
      <c r="J322" s="9" t="inlineStr"/>
      <c r="K322" s="11" t="n"/>
      <c r="L322" s="11" t="n"/>
    </row>
    <row r="323">
      <c r="A323" s="15" t="inlineStr">
        <is>
          <t>M322</t>
        </is>
      </c>
      <c r="B323" s="16" t="inlineStr">
        <is>
          <t>Rouge – hors programme</t>
        </is>
      </c>
      <c r="C323" s="15" t="inlineStr">
        <is>
          <t>BCPST2</t>
        </is>
      </c>
      <c r="D323" s="15" t="inlineStr">
        <is>
          <t>BCPST2 · Algèbre – Polynômes</t>
        </is>
      </c>
      <c r="E323" s="15" t="inlineStr">
        <is>
          <t>Théorème</t>
        </is>
      </c>
      <c r="F323" s="16" t="inlineStr">
        <is>
          <t>Décomposition d'un polynôme dans ℝ[X]</t>
        </is>
      </c>
      <c r="G323" s="15" t="inlineStr">
        <is>
          <t>Tout polynôme réel non constant est produit d'une constante, de facteurs $(X-x_i)^{\alpha_i}$ et de facteurs $(X^2+y_jX+z_j)^{\beta_j}$ avec $y_j^2-4z_j&lt;0$ ; décomposition unique à l'ordre près.</t>
        </is>
      </c>
      <c r="H323" s="15" t="inlineStr">
        <is>
          <t>« La factorisation dans R[X] est hors programme. » (BCPST1 : « la factorisation des polynômes réels en produit de polynômes irréductibles sur R [est] hors programme »)</t>
        </is>
      </c>
      <c r="I323" s="15" t="n">
        <v>4</v>
      </c>
      <c r="J323" s="15" t="inlineStr"/>
      <c r="K323" s="17" t="n"/>
      <c r="L323" s="17" t="n"/>
    </row>
    <row r="324">
      <c r="A324" s="9" t="inlineStr">
        <is>
          <t>M323</t>
        </is>
      </c>
      <c r="B324" s="10" t="inlineStr">
        <is>
          <t>Noir – conforme</t>
        </is>
      </c>
      <c r="C324" s="9" t="inlineStr">
        <is>
          <t>BCPST2</t>
        </is>
      </c>
      <c r="D324" s="9" t="inlineStr">
        <is>
          <t>BCPST2 · Algèbre linéaire 1 – Espaces vectoriels</t>
        </is>
      </c>
      <c r="E324" s="9" t="inlineStr">
        <is>
          <t>Définition</t>
        </is>
      </c>
      <c r="F324" s="10" t="inlineStr">
        <is>
          <t>Espace vectoriel – Définition</t>
        </is>
      </c>
      <c r="G324" s="9" t="inlineStr">
        <is>
          <t>Ensemble $E$ muni d'une loi interne $+$ (associative, commutative, avec élément neutre $0_E$ et opposés) et d'une loi externe $\mathbb K\times E\to E$ vérifiant : $\lambda(x+y)=\lambda x+\lambda y$, $(\lambda+\mu)x=\lambda x+\mu x$, $\lambda(\mu x)=(\lambda\mu)x$, $1\cdot x=x$.</t>
        </is>
      </c>
      <c r="H324" s="9" t="inlineStr">
        <is>
          <t>« Structure d'espace vectoriel. Règles de calcul. »</t>
        </is>
      </c>
      <c r="I324" s="9" t="n">
        <v>6</v>
      </c>
      <c r="J324" s="9" t="inlineStr"/>
      <c r="K324" s="11" t="n"/>
      <c r="L324" s="11" t="n"/>
    </row>
    <row r="325">
      <c r="A325" s="9" t="inlineStr">
        <is>
          <t>M324</t>
        </is>
      </c>
      <c r="B325" s="10" t="inlineStr">
        <is>
          <t>Noir – conforme</t>
        </is>
      </c>
      <c r="C325" s="9" t="inlineStr">
        <is>
          <t>BCPST2</t>
        </is>
      </c>
      <c r="D325" s="9" t="inlineStr">
        <is>
          <t>BCPST2 · Algèbre linéaire 1 – Espaces vectoriels</t>
        </is>
      </c>
      <c r="E325" s="9" t="inlineStr">
        <is>
          <t>Définition</t>
        </is>
      </c>
      <c r="F325" s="10" t="inlineStr">
        <is>
          <t>Sous-espace vectoriel</t>
        </is>
      </c>
      <c r="G325" s="9" t="inlineStr">
        <is>
          <t>$F\subset E$ est un sous-espace vectoriel ssi $0_E\in F$ et $\forall(x,y)\in F^2,\ \forall\lambda\in\mathbb K,\ \lambda x+y\in F$.</t>
        </is>
      </c>
      <c r="H325" s="9" t="inlineStr">
        <is>
          <t>« Sous-espaces vectoriels. » BCPST1 : « ensemble de vecteurs stable par combinaison linéaire et contenant le vecteur nul ».</t>
        </is>
      </c>
      <c r="I325" s="9" t="n">
        <v>6</v>
      </c>
      <c r="J325" s="9" t="inlineStr"/>
      <c r="K325" s="11" t="n"/>
      <c r="L325" s="11" t="n"/>
    </row>
    <row r="326">
      <c r="A326" s="9" t="inlineStr">
        <is>
          <t>M325</t>
        </is>
      </c>
      <c r="B326" s="10" t="inlineStr">
        <is>
          <t>Noir – conforme</t>
        </is>
      </c>
      <c r="C326" s="9" t="inlineStr">
        <is>
          <t>BCPST2</t>
        </is>
      </c>
      <c r="D326" s="9" t="inlineStr">
        <is>
          <t>BCPST2 · Algèbre linéaire 1 – Espaces vectoriels</t>
        </is>
      </c>
      <c r="E326" s="9" t="inlineStr">
        <is>
          <t>Définition</t>
        </is>
      </c>
      <c r="F326" s="10" t="inlineStr">
        <is>
          <t>Sous-espace engendré par une partie</t>
        </is>
      </c>
      <c r="G326" s="9" t="inlineStr">
        <is>
          <t>$\mathrm{Vect}(A)$ = ensemble des combinaisons linéaires finies $\sum\lambda_ia_i$ d'éléments $a_i$ de $A$.</t>
        </is>
      </c>
      <c r="H326" s="9" t="inlineStr">
        <is>
          <t>« Sous-espace vectoriel engendré par une famille finie de vecteurs … notation Vect(x1, …, xk) ». Le programme se limite aux familles finies.</t>
        </is>
      </c>
      <c r="I326" s="9" t="n">
        <v>6</v>
      </c>
      <c r="J326" s="9" t="inlineStr"/>
      <c r="K326" s="11" t="n"/>
      <c r="L326" s="11" t="n"/>
    </row>
    <row r="327">
      <c r="A327" s="15" t="inlineStr">
        <is>
          <t>M326</t>
        </is>
      </c>
      <c r="B327" s="16" t="inlineStr">
        <is>
          <t>Rouge – hors programme</t>
        </is>
      </c>
      <c r="C327" s="15" t="inlineStr">
        <is>
          <t>BCPST2</t>
        </is>
      </c>
      <c r="D327" s="15" t="inlineStr">
        <is>
          <t>BCPST2 · Algèbre linéaire 1 – Espaces vectoriels</t>
        </is>
      </c>
      <c r="E327" s="15" t="inlineStr">
        <is>
          <t>Définition</t>
        </is>
      </c>
      <c r="F327" s="16" t="inlineStr">
        <is>
          <t>Somme directe de sous-espaces vectoriels</t>
        </is>
      </c>
      <c r="G327" s="15" t="inlineStr">
        <is>
          <t>$E=A\oplus B$ ssi tout $x\in E$ s'écrit de façon unique $x=a+b$ ($a\in A$, $b\in B$) ; équivaut à $E=A+B$ et $A\cap B=\{0\}$.</t>
        </is>
      </c>
      <c r="H327" s="15" t="inlineStr">
        <is>
          <t>« La notion de somme de sous-espaces vectoriels n'est pas au programme. »</t>
        </is>
      </c>
      <c r="I327" s="15" t="n">
        <v>6</v>
      </c>
      <c r="J327" s="15" t="inlineStr"/>
      <c r="K327" s="17" t="n"/>
      <c r="L327" s="17" t="n"/>
    </row>
    <row r="328">
      <c r="A328" s="15" t="inlineStr">
        <is>
          <t>M327</t>
        </is>
      </c>
      <c r="B328" s="16" t="inlineStr">
        <is>
          <t>Rouge – hors programme</t>
        </is>
      </c>
      <c r="C328" s="15" t="inlineStr">
        <is>
          <t>BCPST2</t>
        </is>
      </c>
      <c r="D328" s="15" t="inlineStr">
        <is>
          <t>BCPST2 · Algèbre linéaire 1 – Espaces vectoriels</t>
        </is>
      </c>
      <c r="E328" s="15" t="inlineStr">
        <is>
          <t>Définition</t>
        </is>
      </c>
      <c r="F328" s="16" t="inlineStr">
        <is>
          <t>Somme directe d'une famille de sous-espaces</t>
        </is>
      </c>
      <c r="G328" s="15" t="inlineStr">
        <is>
          <t>La somme $\sum_{i\in I}E_i$ est directe si tout $x$ de la somme se décompose de façon unique $x=\sum x_i$, $x_i\in E_i$ (critère de l'ouvrage : $E_i\cap\sum_{j\neq i}E_j=\{0\}$ pour tout $i$).</t>
        </is>
      </c>
      <c r="H328" s="15" t="inlineStr">
        <is>
          <t>« La notion de somme de sous-espaces vectoriels n'est pas au programme. »</t>
        </is>
      </c>
      <c r="I328" s="15" t="n">
        <v>7</v>
      </c>
      <c r="J328" s="15" t="inlineStr">
        <is>
          <t>Suite du cadre précédent (« généralisation »), sans titre propre</t>
        </is>
      </c>
      <c r="K328" s="17" t="n"/>
      <c r="L328" s="17" t="n"/>
    </row>
    <row r="329">
      <c r="A329" s="15" t="inlineStr">
        <is>
          <t>M328</t>
        </is>
      </c>
      <c r="B329" s="16" t="inlineStr">
        <is>
          <t>Rouge – hors programme</t>
        </is>
      </c>
      <c r="C329" s="15" t="inlineStr">
        <is>
          <t>BCPST2</t>
        </is>
      </c>
      <c r="D329" s="15" t="inlineStr">
        <is>
          <t>BCPST2 · Algèbre linéaire 1 – Espaces vectoriels</t>
        </is>
      </c>
      <c r="E329" s="15" t="inlineStr">
        <is>
          <t>Définition</t>
        </is>
      </c>
      <c r="F329" s="16" t="inlineStr">
        <is>
          <t>Sous-espaces vectoriels supplémentaires</t>
        </is>
      </c>
      <c r="G329" s="15" t="inlineStr">
        <is>
          <t>Des sous-espaces $(E_i)$ sont supplémentaires dans $E$ s'ils sont en somme directe et que leur somme vaut $E$ : $E=\bigoplus_i E_i$.</t>
        </is>
      </c>
      <c r="H329" s="15" t="inlineStr">
        <is>
          <t>« La notion de somme de sous-espaces vectoriels n'est pas au programme. »</t>
        </is>
      </c>
      <c r="I329" s="15" t="n">
        <v>7</v>
      </c>
      <c r="J329" s="15" t="inlineStr"/>
      <c r="K329" s="17" t="n"/>
      <c r="L329" s="17" t="n"/>
    </row>
    <row r="330">
      <c r="A330" s="9" t="inlineStr">
        <is>
          <t>M329</t>
        </is>
      </c>
      <c r="B330" s="10" t="inlineStr">
        <is>
          <t>Noir – conforme</t>
        </is>
      </c>
      <c r="C330" s="9" t="inlineStr">
        <is>
          <t>BCPST2</t>
        </is>
      </c>
      <c r="D330" s="9" t="inlineStr">
        <is>
          <t>BCPST2 · Algèbre linéaire 1 – Espaces vectoriels</t>
        </is>
      </c>
      <c r="E330" s="9" t="inlineStr">
        <is>
          <t>Propriété</t>
        </is>
      </c>
      <c r="F330" s="10" t="inlineStr">
        <is>
          <t>Intersection de sous-espaces vectoriels</t>
        </is>
      </c>
      <c r="G330" s="9" t="inlineStr">
        <is>
          <t>Si $F$ et $G$ sont des sous-espaces vectoriels de $E$, alors $F\cap G$ est un sous-espace vectoriel de $E$.</t>
        </is>
      </c>
      <c r="H330" s="9" t="inlineStr">
        <is>
          <t>« Intersection d'un nombre fini de sous-espaces vectoriels. » (l'existence d'un supplémentaire fait l'objet d'une fiche séparée)</t>
        </is>
      </c>
      <c r="I330" s="9" t="n">
        <v>7</v>
      </c>
      <c r="J330" s="9" t="inlineStr">
        <is>
          <t>Cadre scindé : l'existence d'un supplémentaire fait l'objet d'une fiche séparée</t>
        </is>
      </c>
      <c r="K330" s="11" t="n"/>
      <c r="L330" s="11" t="n"/>
    </row>
    <row r="331">
      <c r="A331" s="15" t="inlineStr">
        <is>
          <t>M330</t>
        </is>
      </c>
      <c r="B331" s="16" t="inlineStr">
        <is>
          <t>Rouge – hors programme</t>
        </is>
      </c>
      <c r="C331" s="15" t="inlineStr">
        <is>
          <t>BCPST2</t>
        </is>
      </c>
      <c r="D331" s="15" t="inlineStr">
        <is>
          <t>BCPST2 · Algèbre linéaire 1 – Espaces vectoriels</t>
        </is>
      </c>
      <c r="E331" s="15" t="inlineStr">
        <is>
          <t>Propriété</t>
        </is>
      </c>
      <c r="F331" s="16" t="inlineStr">
        <is>
          <t>Existence d'un supplémentaire</t>
        </is>
      </c>
      <c r="G331" s="15" t="inlineStr">
        <is>
          <t>En dimension finie, tout sous-espace vectoriel admet un supplémentaire.</t>
        </is>
      </c>
      <c r="H331" s="15" t="inlineStr">
        <is>
          <t>« La notion de somme de sous-espaces vectoriels n'est pas au programme. »</t>
        </is>
      </c>
      <c r="I331" s="15" t="n">
        <v>7</v>
      </c>
      <c r="J331" s="15" t="inlineStr">
        <is>
          <t>Fiche détachée d'un cadre de l'ouvrage (contenu partiellement hors programme)</t>
        </is>
      </c>
      <c r="K331" s="17" t="n"/>
      <c r="L331" s="17" t="n"/>
    </row>
    <row r="332">
      <c r="A332" s="12" t="inlineStr">
        <is>
          <t>M331</t>
        </is>
      </c>
      <c r="B332" s="13" t="inlineStr">
        <is>
          <t>Orange – incertain</t>
        </is>
      </c>
      <c r="C332" s="12" t="inlineStr">
        <is>
          <t>BCPST2</t>
        </is>
      </c>
      <c r="D332" s="12" t="inlineStr">
        <is>
          <t>BCPST2 · Algèbre linéaire 1 – Espaces vectoriels</t>
        </is>
      </c>
      <c r="E332" s="12" t="inlineStr">
        <is>
          <t>Propriété</t>
        </is>
      </c>
      <c r="F332" s="13" t="inlineStr">
        <is>
          <t>Dimension des espaces vectoriels usuels</t>
        </is>
      </c>
      <c r="G332" s="12" t="inlineStr">
        <is>
          <t>$\mathbb K[X]$, $\mathcal F(I,\mathbb R)$, $\mathbb K^{\mathbb N}$ sont de dimension infinie. $\dim\mathbb K^n=n$, $\dim\mathbb K_n[X]=n+1$, $\dim\mathcal M_{n,p}(\mathbb K)=np$.</t>
        </is>
      </c>
      <c r="H332" s="12" t="inlineStr">
        <is>
          <t>Espaces mis en valeur : Kⁿ, M_{n,p}(K), applications sur I, K[X], Kₙ[X] ; « Bases canoniques de Kⁿ et Kₙ[X] ». Mais « L'étude d'espaces de suites n'est pas un attendu » et dim M_{n,p} = np n'est pas citée.</t>
        </is>
      </c>
      <c r="I332" s="12" t="n">
        <v>7</v>
      </c>
      <c r="J332" s="12" t="inlineStr"/>
      <c r="K332" s="14" t="n"/>
      <c r="L332" s="14" t="n"/>
    </row>
    <row r="333">
      <c r="A333" s="9" t="inlineStr">
        <is>
          <t>M332</t>
        </is>
      </c>
      <c r="B333" s="10" t="inlineStr">
        <is>
          <t>Noir – conforme</t>
        </is>
      </c>
      <c r="C333" s="9" t="inlineStr">
        <is>
          <t>BCPST2</t>
        </is>
      </c>
      <c r="D333" s="9" t="inlineStr">
        <is>
          <t>BCPST2 · Algèbre linéaire 1 – Espaces vectoriels</t>
        </is>
      </c>
      <c r="E333" s="9" t="inlineStr">
        <is>
          <t>Propriété</t>
        </is>
      </c>
      <c r="F333" s="10" t="inlineStr">
        <is>
          <t>Croissance de la dimension</t>
        </is>
      </c>
      <c r="G333" s="9" t="inlineStr">
        <is>
          <t>En dimension finie, si $F\subset G$ alors $\dim F\le\dim G$, et $\dim F=\dim G\Rightarrow F=G$.</t>
        </is>
      </c>
      <c r="H333" s="9" t="inlineStr">
        <is>
          <t>« Si F est un sous-espace vectoriel de E, alors … dim F ≤ dim E. Si les deux dimensions sont égales, alors F = E. »</t>
        </is>
      </c>
      <c r="I333" s="9" t="n">
        <v>7</v>
      </c>
      <c r="J333" s="9" t="inlineStr"/>
      <c r="K333" s="11" t="n"/>
      <c r="L333" s="11" t="n"/>
    </row>
    <row r="334">
      <c r="A334" s="15" t="inlineStr">
        <is>
          <t>M333</t>
        </is>
      </c>
      <c r="B334" s="16" t="inlineStr">
        <is>
          <t>Rouge – hors programme</t>
        </is>
      </c>
      <c r="C334" s="15" t="inlineStr">
        <is>
          <t>BCPST2</t>
        </is>
      </c>
      <c r="D334" s="15" t="inlineStr">
        <is>
          <t>BCPST2 · Algèbre linéaire 1 – Espaces vectoriels</t>
        </is>
      </c>
      <c r="E334" s="15" t="inlineStr">
        <is>
          <t>Propriété</t>
        </is>
      </c>
      <c r="F334" s="16" t="inlineStr">
        <is>
          <t>Juxtaposition de bases</t>
        </is>
      </c>
      <c r="G334" s="15" t="inlineStr">
        <is>
          <t>Si $\mathcal B_i$ est une base de $E_i$ ($1\le i\le n$), la réunion des $\mathcal B_i$ est une base de $E$ ssi $E=\bigoplus_{i=1}^n E_i$.</t>
        </is>
      </c>
      <c r="H334" s="15" t="inlineStr">
        <is>
          <t>Repose sur la somme directe : « La notion de somme de sous-espaces vectoriels n'est pas au programme. »</t>
        </is>
      </c>
      <c r="I334" s="15" t="n">
        <v>7</v>
      </c>
      <c r="J334" s="15" t="inlineStr"/>
      <c r="K334" s="17" t="n"/>
      <c r="L334" s="17" t="n"/>
    </row>
    <row r="335">
      <c r="A335" s="9" t="inlineStr">
        <is>
          <t>M334</t>
        </is>
      </c>
      <c r="B335" s="10" t="inlineStr">
        <is>
          <t>Noir – conforme</t>
        </is>
      </c>
      <c r="C335" s="9" t="inlineStr">
        <is>
          <t>BCPST2</t>
        </is>
      </c>
      <c r="D335" s="9" t="inlineStr">
        <is>
          <t>BCPST2 · Algèbre linéaire 1 – Espaces vectoriels</t>
        </is>
      </c>
      <c r="E335" s="9" t="inlineStr">
        <is>
          <t>Définition</t>
        </is>
      </c>
      <c r="F335" s="10" t="inlineStr">
        <is>
          <t>Rang d'une famille finie de vecteurs</t>
        </is>
      </c>
      <c r="G335" s="9" t="inlineStr">
        <is>
          <t>$\mathrm{rg}(x_1,\dots,x_n)=\dim\mathrm{Vect}(x_1,\dots,x_n)$.</t>
        </is>
      </c>
      <c r="H335" s="9" t="inlineStr">
        <is>
          <t>« Rang d'une famille finie de vecteurs. »</t>
        </is>
      </c>
      <c r="I335" s="9" t="n">
        <v>8</v>
      </c>
      <c r="J335" s="9" t="inlineStr"/>
      <c r="K335" s="11" t="n"/>
      <c r="L335" s="11" t="n"/>
    </row>
    <row r="336">
      <c r="A336" s="9" t="inlineStr">
        <is>
          <t>M335</t>
        </is>
      </c>
      <c r="B336" s="10" t="inlineStr">
        <is>
          <t>Noir – conforme</t>
        </is>
      </c>
      <c r="C336" s="9" t="inlineStr">
        <is>
          <t>BCPST2</t>
        </is>
      </c>
      <c r="D336" s="9" t="inlineStr">
        <is>
          <t>BCPST2 · Algèbre linéaire 1 – Espaces vectoriels</t>
        </is>
      </c>
      <c r="E336" s="9" t="inlineStr">
        <is>
          <t>Définition</t>
        </is>
      </c>
      <c r="F336" s="10" t="inlineStr">
        <is>
          <t>Famille génératrice</t>
        </is>
      </c>
      <c r="G336" s="9" t="inlineStr">
        <is>
          <t>$(x_i)_{i\in I}$ est génératrice de $E$ si tout $x\in E$ est combinaison linéaire des $x_i$, i.e. $E=\mathrm{Vect}(x_i)$.</t>
        </is>
      </c>
      <c r="H336" s="9" t="inlineStr">
        <is>
          <t>« Famille génératrice finie d'un espace vectoriel. »</t>
        </is>
      </c>
      <c r="I336" s="9" t="n">
        <v>8</v>
      </c>
      <c r="J336" s="9" t="inlineStr"/>
      <c r="K336" s="11" t="n"/>
      <c r="L336" s="11" t="n"/>
    </row>
    <row r="337">
      <c r="A337" s="9" t="inlineStr">
        <is>
          <t>M336</t>
        </is>
      </c>
      <c r="B337" s="10" t="inlineStr">
        <is>
          <t>Noir – conforme</t>
        </is>
      </c>
      <c r="C337" s="9" t="inlineStr">
        <is>
          <t>BCPST2</t>
        </is>
      </c>
      <c r="D337" s="9" t="inlineStr">
        <is>
          <t>BCPST2 · Algèbre linéaire 1 – Espaces vectoriels</t>
        </is>
      </c>
      <c r="E337" s="9" t="inlineStr">
        <is>
          <t>Définition</t>
        </is>
      </c>
      <c r="F337" s="10" t="inlineStr">
        <is>
          <t>Famille libre</t>
        </is>
      </c>
      <c r="G337" s="9" t="inlineStr">
        <is>
          <t>$(x_i)$ est libre si $\sum\lambda_ix_i=0\Rightarrow\forall i,\ \lambda_i=0$ ; sinon elle est liée.</t>
        </is>
      </c>
      <c r="H337" s="9" t="inlineStr">
        <is>
          <t>« Famille libre finie. Famille liée finie. »</t>
        </is>
      </c>
      <c r="I337" s="9" t="n">
        <v>8</v>
      </c>
      <c r="J337" s="9" t="inlineStr"/>
      <c r="K337" s="11" t="n"/>
      <c r="L337" s="11" t="n"/>
    </row>
    <row r="338">
      <c r="A338" s="12" t="inlineStr">
        <is>
          <t>M337</t>
        </is>
      </c>
      <c r="B338" s="13" t="inlineStr">
        <is>
          <t>Orange – incertain</t>
        </is>
      </c>
      <c r="C338" s="12" t="inlineStr">
        <is>
          <t>BCPST2</t>
        </is>
      </c>
      <c r="D338" s="12" t="inlineStr">
        <is>
          <t>BCPST2 · Algèbre linéaire 1 – Espaces vectoriels</t>
        </is>
      </c>
      <c r="E338" s="12" t="inlineStr">
        <is>
          <t>Propriété</t>
        </is>
      </c>
      <c r="F338" s="13" t="inlineStr">
        <is>
          <t>Propriétés fondamentales des familles</t>
        </is>
      </c>
      <c r="G338" s="12" t="inlineStr">
        <is>
          <t>Toute sur-famille d'une famille génératrice est génératrice ; toute sous-famille d'une famille libre est libre ; si $(x_1..x_n)$ est libre et $(x_1..x_{n+1})$ liée, alors $x_{n+1}$ est combinaison linéaire des $x_i$ ; une famille contenant le vecteur nul ou deux vecteurs égaux est liée.</t>
        </is>
      </c>
      <c r="H338" s="12" t="inlineStr">
        <is>
          <t>Propriétés non listées par le programme (conséquences directes des définitions de famille libre / génératrice).</t>
        </is>
      </c>
      <c r="I338" s="12" t="n">
        <v>8</v>
      </c>
      <c r="J338" s="12" t="inlineStr"/>
      <c r="K338" s="14" t="n"/>
      <c r="L338" s="14" t="n"/>
    </row>
    <row r="339">
      <c r="A339" s="9" t="inlineStr">
        <is>
          <t>M338</t>
        </is>
      </c>
      <c r="B339" s="10" t="inlineStr">
        <is>
          <t>Noir – conforme</t>
        </is>
      </c>
      <c r="C339" s="9" t="inlineStr">
        <is>
          <t>BCPST2</t>
        </is>
      </c>
      <c r="D339" s="9" t="inlineStr">
        <is>
          <t>BCPST2 · Algèbre linéaire 1 – Espaces vectoriels</t>
        </is>
      </c>
      <c r="E339" s="9" t="inlineStr">
        <is>
          <t>Définition</t>
        </is>
      </c>
      <c r="F339" s="10" t="inlineStr">
        <is>
          <t>Base d'un espace vectoriel – Définition</t>
        </is>
      </c>
      <c r="G339" s="9" t="inlineStr">
        <is>
          <t>Une base de $E$ est une famille libre et génératrice de $E$.</t>
        </is>
      </c>
      <c r="H339" s="9" t="inlineStr">
        <is>
          <t>« Base finie d'un espace vectoriel. Coordonnées d'un vecteur dans une base. »</t>
        </is>
      </c>
      <c r="I339" s="9" t="n">
        <v>8</v>
      </c>
      <c r="J339" s="9" t="inlineStr"/>
      <c r="K339" s="11" t="n"/>
      <c r="L339" s="11" t="n"/>
    </row>
    <row r="340">
      <c r="A340" s="9" t="inlineStr">
        <is>
          <t>M339</t>
        </is>
      </c>
      <c r="B340" s="10" t="inlineStr">
        <is>
          <t>Noir – conforme</t>
        </is>
      </c>
      <c r="C340" s="9" t="inlineStr">
        <is>
          <t>BCPST2</t>
        </is>
      </c>
      <c r="D340" s="9" t="inlineStr">
        <is>
          <t>BCPST2 · Algèbre linéaire 1 – Espaces vectoriels</t>
        </is>
      </c>
      <c r="E340" s="9" t="inlineStr">
        <is>
          <t>Théorème</t>
        </is>
      </c>
      <c r="F340" s="10" t="inlineStr">
        <is>
          <t>Théorie de la dimension</t>
        </is>
      </c>
      <c r="G340" s="9" t="inlineStr">
        <is>
          <t>$E$ est de dimension finie s'il admet une famille génératrice finie. Alors $E$ admet une base, toutes ses bases sont finies et ont le même cardinal, noté $\dim E$.</t>
        </is>
      </c>
      <c r="H340" s="9" t="inlineStr">
        <is>
          <t>« On dit que E est de dimension finie s'il possède une famille génératrice finie … Toutes les bases … ont le même cardinal ; ce nombre commun est appelé dimension de E. »</t>
        </is>
      </c>
      <c r="I340" s="9" t="n">
        <v>8</v>
      </c>
      <c r="J340" s="9" t="inlineStr">
        <is>
          <t>Cadre à cheval sur les pages 8 et 9</t>
        </is>
      </c>
      <c r="K340" s="11" t="n"/>
      <c r="L340" s="11" t="n"/>
    </row>
    <row r="341">
      <c r="A341" s="9" t="inlineStr">
        <is>
          <t>M340</t>
        </is>
      </c>
      <c r="B341" s="10" t="inlineStr">
        <is>
          <t>Noir – conforme</t>
        </is>
      </c>
      <c r="C341" s="9" t="inlineStr">
        <is>
          <t>BCPST2</t>
        </is>
      </c>
      <c r="D341" s="9" t="inlineStr">
        <is>
          <t>BCPST2 · Algèbre linéaire 1 – Espaces vectoriels</t>
        </is>
      </c>
      <c r="E341" s="9" t="inlineStr">
        <is>
          <t>Propriété</t>
        </is>
      </c>
      <c r="F341" s="10" t="inlineStr">
        <is>
          <t>Propriétés des familles libres et des familles génératrices</t>
        </is>
      </c>
      <c r="G341" s="9" t="inlineStr">
        <is>
          <t>Si $\dim E=n$ : toute famille libre a au plus $n$ éléments, toute famille génératrice au moins $n$ éléments.</t>
        </is>
      </c>
      <c r="H341" s="9" t="inlineStr">
        <is>
          <t>« Toute famille libre a au plus n éléments … Toute famille génératrice a au moins n éléments. »</t>
        </is>
      </c>
      <c r="I341" s="9" t="n">
        <v>9</v>
      </c>
      <c r="J341" s="9" t="inlineStr"/>
      <c r="K341" s="11" t="n"/>
      <c r="L341" s="11" t="n"/>
    </row>
    <row r="342">
      <c r="A342" s="15" t="inlineStr">
        <is>
          <t>M341</t>
        </is>
      </c>
      <c r="B342" s="16" t="inlineStr">
        <is>
          <t>Rouge – hors programme</t>
        </is>
      </c>
      <c r="C342" s="15" t="inlineStr">
        <is>
          <t>BCPST2</t>
        </is>
      </c>
      <c r="D342" s="15" t="inlineStr">
        <is>
          <t>BCPST2 · Algèbre linéaire 1 – Espaces vectoriels</t>
        </is>
      </c>
      <c r="E342" s="15" t="inlineStr">
        <is>
          <t>Propriété</t>
        </is>
      </c>
      <c r="F342" s="16" t="inlineStr">
        <is>
          <t>Somme directe et dimension</t>
        </is>
      </c>
      <c r="G342" s="15" t="inlineStr">
        <is>
          <t>En dimension finie : $E=A\oplus B\iff E=A+B$ et $\dim E=\dim A+\dim B$.</t>
        </is>
      </c>
      <c r="H342" s="15" t="inlineStr">
        <is>
          <t>« La notion de somme de sous-espaces vectoriels n'est pas au programme. »</t>
        </is>
      </c>
      <c r="I342" s="15" t="n">
        <v>9</v>
      </c>
      <c r="J342" s="15" t="inlineStr"/>
      <c r="K342" s="17" t="n"/>
      <c r="L342" s="17" t="n"/>
    </row>
    <row r="343">
      <c r="A343" s="9" t="inlineStr">
        <is>
          <t>M342</t>
        </is>
      </c>
      <c r="B343" s="10" t="inlineStr">
        <is>
          <t>Noir – conforme</t>
        </is>
      </c>
      <c r="C343" s="9" t="inlineStr">
        <is>
          <t>BCPST2</t>
        </is>
      </c>
      <c r="D343" s="9" t="inlineStr">
        <is>
          <t>BCPST2 · Algèbre linéaire 1 – Espaces vectoriels</t>
        </is>
      </c>
      <c r="E343" s="9" t="inlineStr">
        <is>
          <t>Définition</t>
        </is>
      </c>
      <c r="F343" s="10" t="inlineStr">
        <is>
          <t>Ensemble des matrices</t>
        </is>
      </c>
      <c r="G343" s="9" t="inlineStr">
        <is>
          <t>$\mathcal M_{m,n}(\mathbb K)$ : ensemble des matrices à $m$ lignes et $n$ colonnes ; c'est un $\mathbb K$-espace vectoriel.</t>
        </is>
      </c>
      <c r="H343" s="9" t="inlineStr">
        <is>
          <t>Espaces vectoriels mis en valeur : « Kⁿ, M_{n,p}(K), … »</t>
        </is>
      </c>
      <c r="I343" s="9" t="n">
        <v>12</v>
      </c>
      <c r="J343" s="9" t="inlineStr"/>
      <c r="K343" s="11" t="n"/>
      <c r="L343" s="11" t="n"/>
    </row>
    <row r="344">
      <c r="A344" s="9" t="inlineStr">
        <is>
          <t>M343</t>
        </is>
      </c>
      <c r="B344" s="10" t="inlineStr">
        <is>
          <t>Noir – conforme</t>
        </is>
      </c>
      <c r="C344" s="9" t="inlineStr">
        <is>
          <t>BCPST2</t>
        </is>
      </c>
      <c r="D344" s="9" t="inlineStr">
        <is>
          <t>BCPST2 · Algèbre linéaire 2 – Applications linéaires et matrices</t>
        </is>
      </c>
      <c r="E344" s="9" t="inlineStr">
        <is>
          <t>Définition</t>
        </is>
      </c>
      <c r="F344" s="10" t="inlineStr">
        <is>
          <t>Application linéaire – Définition</t>
        </is>
      </c>
      <c r="G344" s="9" t="inlineStr">
        <is>
          <t>$f:E\to F$ est linéaire si $\forall(x,y)\in E^2,\ \forall\lambda\in\mathbb K,\ f(x+\lambda y)=f(x)+\lambda f(y)$. On note $\mathcal L(E,F)$.</t>
        </is>
      </c>
      <c r="H344" s="9" t="inlineStr">
        <is>
          <t>« Application linéaire, endomorphisme, isomorphisme. »</t>
        </is>
      </c>
      <c r="I344" s="9" t="n">
        <v>9</v>
      </c>
      <c r="J344" s="9" t="inlineStr"/>
      <c r="K344" s="11" t="n"/>
      <c r="L344" s="11" t="n"/>
    </row>
    <row r="345">
      <c r="A345" s="12" t="inlineStr">
        <is>
          <t>M344</t>
        </is>
      </c>
      <c r="B345" s="13" t="inlineStr">
        <is>
          <t>Orange – incertain</t>
        </is>
      </c>
      <c r="C345" s="12" t="inlineStr">
        <is>
          <t>BCPST2</t>
        </is>
      </c>
      <c r="D345" s="12" t="inlineStr">
        <is>
          <t>BCPST2 · Algèbre linéaire 2 – Applications linéaires et matrices</t>
        </is>
      </c>
      <c r="E345" s="12" t="inlineStr">
        <is>
          <t>Définition</t>
        </is>
      </c>
      <c r="F345" s="13" t="inlineStr">
        <is>
          <t>Isomorphisme – Endomorphisme – Automorphisme</t>
        </is>
      </c>
      <c r="G345" s="12" t="inlineStr">
        <is>
          <t>Isomorphisme : application linéaire bijective. Endomorphisme : application linéaire de $E$ dans $E$. Automorphisme : endomorphisme bijectif ; ensemble noté $GL(E)$.</t>
        </is>
      </c>
      <c r="H345" s="12" t="inlineStr">
        <is>
          <t>Endomorphisme et isomorphisme sont au programme ; « automorphisme » et la notation GL(E) n'y figurent pas.</t>
        </is>
      </c>
      <c r="I345" s="12" t="n">
        <v>9</v>
      </c>
      <c r="J345" s="12" t="inlineStr"/>
      <c r="K345" s="14" t="n"/>
      <c r="L345" s="14" t="n"/>
    </row>
    <row r="346">
      <c r="A346" s="12" t="inlineStr">
        <is>
          <t>M345</t>
        </is>
      </c>
      <c r="B346" s="13" t="inlineStr">
        <is>
          <t>Orange – incertain</t>
        </is>
      </c>
      <c r="C346" s="12" t="inlineStr">
        <is>
          <t>BCPST2</t>
        </is>
      </c>
      <c r="D346" s="12" t="inlineStr">
        <is>
          <t>BCPST2 · Algèbre linéaire 2 – Applications linéaires et matrices</t>
        </is>
      </c>
      <c r="E346" s="12" t="inlineStr">
        <is>
          <t>Propriété</t>
        </is>
      </c>
      <c r="F346" s="13" t="inlineStr">
        <is>
          <t>Applications linéaires et famille de vecteurs</t>
        </is>
      </c>
      <c r="G346" s="12" t="inlineStr">
        <is>
          <t>$f(\mathrm{Vect}\,\mathcal F)=\mathrm{Vect}\,f(\mathcal F)$ ; $\mathcal F$ liée $\Rightarrow f(\mathcal F)$ liée ; $f(\mathcal F)$ libre $\Rightarrow\mathcal F$ libre (réciproque si $f$ injective) ; $\mathcal F$ génératrice de $E$ $\Rightarrow f(\mathcal F)$ génératrice de $\mathrm{Im}f$ (de $F$ si $f$ surjective) ; $f$ bijective ssi l'image d'une base est une base.</t>
        </is>
      </c>
      <c r="H346" s="12" t="inlineStr">
        <is>
          <t>Seul point explicite : « Une application linéaire est un isomorphisme si, et seulement si, l'image d'une base est une base. » Les autres propriétés ne sont pas listées.</t>
        </is>
      </c>
      <c r="I346" s="12" t="n">
        <v>9</v>
      </c>
      <c r="J346" s="12" t="inlineStr">
        <is>
          <t>Cadre à cheval sur les pages 9 et 10</t>
        </is>
      </c>
      <c r="K346" s="14" t="n"/>
      <c r="L346" s="14" t="n"/>
    </row>
    <row r="347">
      <c r="A347" s="9" t="inlineStr">
        <is>
          <t>M346</t>
        </is>
      </c>
      <c r="B347" s="10" t="inlineStr">
        <is>
          <t>Noir – conforme</t>
        </is>
      </c>
      <c r="C347" s="9" t="inlineStr">
        <is>
          <t>BCPST2</t>
        </is>
      </c>
      <c r="D347" s="9" t="inlineStr">
        <is>
          <t>BCPST2 · Algèbre linéaire 2 – Applications linéaires et matrices</t>
        </is>
      </c>
      <c r="E347" s="9" t="inlineStr">
        <is>
          <t>Définition</t>
        </is>
      </c>
      <c r="F347" s="10" t="inlineStr">
        <is>
          <t>Image et noyau d'une application linéaire – Définition</t>
        </is>
      </c>
      <c r="G347" s="9" t="inlineStr">
        <is>
          <t>$\mathrm{Im}f=f(E)=\{f(x),\ x\in E\}$, sous-espace de $F$ ; $\mathrm{Ker}f=\{x\in E,\ f(x)=0\}=f^{-1}(\{0\})$, sous-espace de $E$.</t>
        </is>
      </c>
      <c r="H347" s="9" t="inlineStr">
        <is>
          <t>« Noyau … On montre que le noyau est un sous-espace vectoriel … Image … sous-espace vectoriel de l'espace d'arrivée. »</t>
        </is>
      </c>
      <c r="I347" s="9" t="n">
        <v>10</v>
      </c>
      <c r="J347" s="9" t="inlineStr"/>
      <c r="K347" s="11" t="n"/>
      <c r="L347" s="11" t="n"/>
    </row>
    <row r="348">
      <c r="A348" s="9" t="inlineStr">
        <is>
          <t>M347</t>
        </is>
      </c>
      <c r="B348" s="10" t="inlineStr">
        <is>
          <t>Noir – conforme</t>
        </is>
      </c>
      <c r="C348" s="9" t="inlineStr">
        <is>
          <t>BCPST2</t>
        </is>
      </c>
      <c r="D348" s="9" t="inlineStr">
        <is>
          <t>BCPST2 · Algèbre linéaire 2 – Applications linéaires et matrices</t>
        </is>
      </c>
      <c r="E348" s="9" t="inlineStr">
        <is>
          <t>Définition</t>
        </is>
      </c>
      <c r="F348" s="10" t="inlineStr">
        <is>
          <t>Rang d'une application linéaire – Définition</t>
        </is>
      </c>
      <c r="G348" s="9" t="inlineStr">
        <is>
          <t>Si $\mathrm{Im}f$ est de dimension finie, $\mathrm{rg}f=\dim\mathrm{Im}f$.</t>
        </is>
      </c>
      <c r="H348" s="9" t="inlineStr">
        <is>
          <t>« Rang d'une application linéaire. »</t>
        </is>
      </c>
      <c r="I348" s="9" t="n">
        <v>10</v>
      </c>
      <c r="J348" s="9" t="inlineStr"/>
      <c r="K348" s="11" t="n"/>
      <c r="L348" s="11" t="n"/>
    </row>
    <row r="349">
      <c r="A349" s="9" t="inlineStr">
        <is>
          <t>M348</t>
        </is>
      </c>
      <c r="B349" s="10" t="inlineStr">
        <is>
          <t>Noir – conforme</t>
        </is>
      </c>
      <c r="C349" s="9" t="inlineStr">
        <is>
          <t>BCPST2</t>
        </is>
      </c>
      <c r="D349" s="9" t="inlineStr">
        <is>
          <t>BCPST2 · Algèbre linéaire 2 – Applications linéaires et matrices</t>
        </is>
      </c>
      <c r="E349" s="9" t="inlineStr">
        <is>
          <t>Propriété</t>
        </is>
      </c>
      <c r="F349" s="10" t="inlineStr">
        <is>
          <t>Opérations sur les applications linéaires</t>
        </is>
      </c>
      <c r="G349" s="9" t="inlineStr">
        <is>
          <t>Si $f,g$ sont linéaires et $\lambda\in\mathbb K$, alors $f+g$ et $\lambda f$ sont linéaires. Si $f$ est un isomorphisme, $f^{-1}$ est linéaire.</t>
        </is>
      </c>
      <c r="H349" s="9" t="inlineStr">
        <is>
          <t>« Opérations sur les applications linéaires : addition, multiplication par un scalaire, composition, réciproque. » NB : « les notations L(E,F) et L(E) … leur étude n'est pas un attendu ».</t>
        </is>
      </c>
      <c r="I349" s="9" t="n">
        <v>10</v>
      </c>
      <c r="J349" s="9" t="inlineStr">
        <is>
          <t>Mention « L(E,F) est un espace vectoriel » retirée : « leur étude n'est pas un attendu du programme »</t>
        </is>
      </c>
      <c r="K349" s="11" t="n"/>
      <c r="L349" s="11" t="n"/>
    </row>
    <row r="350">
      <c r="A350" s="9" t="inlineStr">
        <is>
          <t>M349</t>
        </is>
      </c>
      <c r="B350" s="10" t="inlineStr">
        <is>
          <t>Noir – conforme</t>
        </is>
      </c>
      <c r="C350" s="9" t="inlineStr">
        <is>
          <t>BCPST2</t>
        </is>
      </c>
      <c r="D350" s="9" t="inlineStr">
        <is>
          <t>BCPST2 · Algèbre linéaire 2 – Applications linéaires et matrices</t>
        </is>
      </c>
      <c r="E350" s="9" t="inlineStr">
        <is>
          <t>Propriété</t>
        </is>
      </c>
      <c r="F350" s="10" t="inlineStr">
        <is>
          <t>Composition d'applications linéaires</t>
        </is>
      </c>
      <c r="G350" s="9" t="inlineStr">
        <is>
          <t>Si $f\in\mathcal L(E,F)$ et $g\in\mathcal L(F,G)$, alors $g\circ f\in\mathcal L(E,G)$.</t>
        </is>
      </c>
      <c r="H350" s="9" t="inlineStr">
        <is>
          <t>« composition … Propriétés de ces opérations. »</t>
        </is>
      </c>
      <c r="I350" s="9" t="n">
        <v>10</v>
      </c>
      <c r="J350" s="9" t="inlineStr"/>
      <c r="K350" s="11" t="n"/>
      <c r="L350" s="11" t="n"/>
    </row>
    <row r="351">
      <c r="A351" s="9" t="inlineStr">
        <is>
          <t>M350</t>
        </is>
      </c>
      <c r="B351" s="10" t="inlineStr">
        <is>
          <t>Noir – conforme</t>
        </is>
      </c>
      <c r="C351" s="9" t="inlineStr">
        <is>
          <t>BCPST2</t>
        </is>
      </c>
      <c r="D351" s="9" t="inlineStr">
        <is>
          <t>BCPST2 · Algèbre linéaire 2 – Applications linéaires et matrices</t>
        </is>
      </c>
      <c r="E351" s="9" t="inlineStr">
        <is>
          <t>Théorème</t>
        </is>
      </c>
      <c r="F351" s="10" t="inlineStr">
        <is>
          <t>Application linéaire à partir de l'image d'une base</t>
        </is>
      </c>
      <c r="G351" s="9" t="inlineStr">
        <is>
          <t>Une application linéaire est déterminée par l'image d'une base $(e_1,\dots,e_p)$ : $x=\sum\lambda_ie_i\Rightarrow f(x)=\sum\lambda_if(e_i)$. $f$ injective $\iff(f(e_i))$ libre ; $f$ surjective $\iff(f(e_i))$ génératrice de $F$ ; $f$ isomorphisme $\iff(f(e_i))$ base de $F$.</t>
        </is>
      </c>
      <c r="H351" s="9" t="inlineStr">
        <is>
          <t>« Détermination d'une application linéaire par l'image d'une base. Une application linéaire est un isomorphisme si, et seulement si, l'image d'une base est une base. »</t>
        </is>
      </c>
      <c r="I351" s="9" t="n">
        <v>10</v>
      </c>
      <c r="J351" s="9" t="inlineStr">
        <is>
          <t>Cadre à cheval sur les pages 10 et 11</t>
        </is>
      </c>
      <c r="K351" s="11" t="n"/>
      <c r="L351" s="11" t="n"/>
    </row>
    <row r="352">
      <c r="A352" s="9" t="inlineStr">
        <is>
          <t>M351</t>
        </is>
      </c>
      <c r="B352" s="10" t="inlineStr">
        <is>
          <t>Noir – conforme</t>
        </is>
      </c>
      <c r="C352" s="9" t="inlineStr">
        <is>
          <t>BCPST2</t>
        </is>
      </c>
      <c r="D352" s="9" t="inlineStr">
        <is>
          <t>BCPST2 · Algèbre linéaire 2 – Applications linéaires et matrices</t>
        </is>
      </c>
      <c r="E352" s="9" t="inlineStr">
        <is>
          <t>Théorème</t>
        </is>
      </c>
      <c r="F352" s="10" t="inlineStr">
        <is>
          <t>Formule du rang</t>
        </is>
      </c>
      <c r="G352" s="9" t="inlineStr">
        <is>
          <t>Si $E$ est de dimension finie et $f\in\mathcal L(E,F)$ : $\dim E=\mathrm{rg}f+\dim\mathrm{Ker}f$.</t>
        </is>
      </c>
      <c r="H352" s="9" t="inlineStr">
        <is>
          <t>« Théorème du rang. Résultat admis. »</t>
        </is>
      </c>
      <c r="I352" s="9" t="n">
        <v>11</v>
      </c>
      <c r="J352" s="9" t="inlineStr"/>
      <c r="K352" s="11" t="n"/>
      <c r="L352" s="11" t="n"/>
    </row>
    <row r="353">
      <c r="A353" s="9" t="inlineStr">
        <is>
          <t>M352</t>
        </is>
      </c>
      <c r="B353" s="10" t="inlineStr">
        <is>
          <t>Noir – conforme</t>
        </is>
      </c>
      <c r="C353" s="9" t="inlineStr">
        <is>
          <t>BCPST2</t>
        </is>
      </c>
      <c r="D353" s="9" t="inlineStr">
        <is>
          <t>BCPST2 · Algèbre linéaire 2 – Applications linéaires et matrices</t>
        </is>
      </c>
      <c r="E353" s="9" t="inlineStr">
        <is>
          <t>Théorème</t>
        </is>
      </c>
      <c r="F353" s="10" t="inlineStr">
        <is>
          <t>Applications linéaires – Cas de la dimension finie</t>
        </is>
      </c>
      <c r="G353" s="9" t="inlineStr">
        <is>
          <t>Si $\dim E=\dim F=n$ et $f\in\mathcal L(E,F)$ (en particulier pour $f\in\mathcal L(E)$) : $f$ bijective $\iff f$ injective $\iff f$ surjective $\iff\mathrm{rg}f=n$.</t>
        </is>
      </c>
      <c r="H353" s="9" t="inlineStr">
        <is>
          <t>« Pour une application linéaire entre deux espaces de même dimension finie, il y a équivalence entre l'injectivité, la surjectivité et la bijectivité. »</t>
        </is>
      </c>
      <c r="I353" s="9" t="n">
        <v>11</v>
      </c>
      <c r="J353" s="9" t="inlineStr"/>
      <c r="K353" s="11" t="n"/>
      <c r="L353" s="11" t="n"/>
    </row>
    <row r="354">
      <c r="A354" s="9" t="inlineStr">
        <is>
          <t>M353</t>
        </is>
      </c>
      <c r="B354" s="10" t="inlineStr">
        <is>
          <t>Noir – conforme</t>
        </is>
      </c>
      <c r="C354" s="9" t="inlineStr">
        <is>
          <t>BCPST2</t>
        </is>
      </c>
      <c r="D354" s="9" t="inlineStr">
        <is>
          <t>BCPST2 · Algèbre linéaire 2 – Applications linéaires et matrices</t>
        </is>
      </c>
      <c r="E354" s="9" t="inlineStr">
        <is>
          <t>Propriété</t>
        </is>
      </c>
      <c r="F354" s="10" t="inlineStr">
        <is>
          <t>Image et noyau d'une application linéaire – Propriétés</t>
        </is>
      </c>
      <c r="G354" s="9" t="inlineStr">
        <is>
          <t>$f$ surjective $\iff\mathrm{Im}f=F$ ; $f$ injective $\iff\mathrm{Ker}f=\{0\}$.</t>
        </is>
      </c>
      <c r="H354" s="9" t="inlineStr">
        <is>
          <t>« Noyau. Lien avec l'injectivité. Image. Lien avec la surjectivité. »</t>
        </is>
      </c>
      <c r="I354" s="9" t="n">
        <v>11</v>
      </c>
      <c r="J354" s="9" t="inlineStr"/>
      <c r="K354" s="11" t="n"/>
      <c r="L354" s="11" t="n"/>
    </row>
    <row r="355">
      <c r="A355" s="9" t="inlineStr">
        <is>
          <t>M354</t>
        </is>
      </c>
      <c r="B355" s="10" t="inlineStr">
        <is>
          <t>Noir – conforme</t>
        </is>
      </c>
      <c r="C355" s="9" t="inlineStr">
        <is>
          <t>BCPST2</t>
        </is>
      </c>
      <c r="D355" s="9" t="inlineStr">
        <is>
          <t>BCPST2 · Algèbre linéaire 2 – Applications linéaires et matrices</t>
        </is>
      </c>
      <c r="E355" s="9" t="inlineStr">
        <is>
          <t>Définition</t>
        </is>
      </c>
      <c r="F355" s="10" t="inlineStr">
        <is>
          <t>Matrices et applications linéaires</t>
        </is>
      </c>
      <c r="G355" s="9" t="inlineStr">
        <is>
          <t>Matrice de $f\in\mathcal L(E,F)$ dans les bases $(e_j)$ de $E$ et $(f_i)$ de $F$ : la $j$-ième colonne contient les coordonnées de $f(e_j)=\sum_i a_{ij}f_i$.</t>
        </is>
      </c>
      <c r="H355" s="9" t="inlineStr">
        <is>
          <t>« Matrice d'une application linéaire … une base ayant été choisie dans chacun d'eux. »</t>
        </is>
      </c>
      <c r="I355" s="9" t="n">
        <v>12</v>
      </c>
      <c r="J355" s="9" t="inlineStr"/>
      <c r="K355" s="11" t="n"/>
      <c r="L355" s="11" t="n"/>
    </row>
    <row r="356">
      <c r="A356" s="9" t="inlineStr">
        <is>
          <t>M355</t>
        </is>
      </c>
      <c r="B356" s="10" t="inlineStr">
        <is>
          <t>Noir – conforme</t>
        </is>
      </c>
      <c r="C356" s="9" t="inlineStr">
        <is>
          <t>BCPST2</t>
        </is>
      </c>
      <c r="D356" s="9" t="inlineStr">
        <is>
          <t>BCPST2 · Algèbre linéaire 2 – Applications linéaires et matrices</t>
        </is>
      </c>
      <c r="E356" s="9" t="inlineStr">
        <is>
          <t>Théorème</t>
        </is>
      </c>
      <c r="F356" s="10" t="inlineStr">
        <is>
          <t>Changement de base</t>
        </is>
      </c>
      <c r="G356" s="9" t="inlineStr">
        <is>
          <t>$A'=Q^{-1}AP$, où $P$ (resp. $Q$) est la matrice de passage de l'ancienne à la nouvelle base de $E$ (resp. $F$). Pour un endomorphisme : $A'=P^{-1}AP$.</t>
        </is>
      </c>
      <c r="H356" s="9" t="inlineStr">
        <is>
          <t>« Changement de base. Matrice de passage … Action d'un changement de base sur la matrice d'un endomorphisme. » Le cas f : E → F (Q⁻¹AP) n'est pas cité ; « On ne parlera pas de matrices équivalentes ».</t>
        </is>
      </c>
      <c r="I356" s="9" t="n">
        <v>12</v>
      </c>
      <c r="J356" s="9" t="inlineStr"/>
      <c r="K356" s="11" t="n"/>
      <c r="L356" s="11" t="n"/>
    </row>
    <row r="357">
      <c r="A357" s="9" t="inlineStr">
        <is>
          <t>M356</t>
        </is>
      </c>
      <c r="B357" s="10" t="inlineStr">
        <is>
          <t>Noir – conforme</t>
        </is>
      </c>
      <c r="C357" s="9" t="inlineStr">
        <is>
          <t>BCPST2</t>
        </is>
      </c>
      <c r="D357" s="9" t="inlineStr">
        <is>
          <t>BCPST2 · Algèbre linéaire 2 – Applications linéaires et matrices</t>
        </is>
      </c>
      <c r="E357" s="9" t="inlineStr">
        <is>
          <t>Propriété</t>
        </is>
      </c>
      <c r="F357" s="10" t="inlineStr">
        <is>
          <t>Matrices inversibles</t>
        </is>
      </c>
      <c r="G357" s="9" t="inlineStr">
        <is>
          <t>Si $A$ représente l'endomorphisme $f$ dans une base : $f$ bijective $\iff A$ inversible, et alors $\mathrm{Mat}(f^{-1})=A^{-1}$.</t>
        </is>
      </c>
      <c r="H357" s="9" t="inlineStr">
        <is>
          <t>« On montre qu'un endomorphisme est bijectif si, et seulement si, sa matrice, dans une base quelconque, est inversible. »</t>
        </is>
      </c>
      <c r="I357" s="9" t="n">
        <v>12</v>
      </c>
      <c r="J357" s="9" t="inlineStr"/>
      <c r="K357" s="11" t="n"/>
      <c r="L357" s="11" t="n"/>
    </row>
    <row r="358">
      <c r="A358" s="9" t="inlineStr">
        <is>
          <t>M357</t>
        </is>
      </c>
      <c r="B358" s="10" t="inlineStr">
        <is>
          <t>Noir – conforme</t>
        </is>
      </c>
      <c r="C358" s="9" t="inlineStr">
        <is>
          <t>BCPST2</t>
        </is>
      </c>
      <c r="D358" s="9" t="inlineStr">
        <is>
          <t>BCPST2 · Algèbre linéaire 2 – Applications linéaires et matrices</t>
        </is>
      </c>
      <c r="E358" s="9" t="inlineStr">
        <is>
          <t>Propriété</t>
        </is>
      </c>
      <c r="F358" s="10" t="inlineStr">
        <is>
          <t>Règles de calcul de la matrice d'une application linéaire</t>
        </is>
      </c>
      <c r="G358" s="9" t="inlineStr">
        <is>
          <t>Dans des bases fixées : $\mathrm{Mat}(\lambda f+g)=\lambda\mathrm{Mat}f+\mathrm{Mat}g$ ; $\mathrm{Mat}(g\circ f)=\mathrm{Mat}(g)\mathrm{Mat}(f)$ ; $f$ isomorphisme $\iff\mathrm{Mat}f$ inversible, et $\mathrm{Mat}(f^{-1})=(\mathrm{Mat}f)^{-1}$.</t>
        </is>
      </c>
      <c r="H358" s="9" t="inlineStr">
        <is>
          <t>« Matrice de la somme …, du produit par un scalaire …, de la composée …, de l'application réciproque. »</t>
        </is>
      </c>
      <c r="I358" s="9" t="n">
        <v>14</v>
      </c>
      <c r="J358" s="9" t="inlineStr"/>
      <c r="K358" s="11" t="n"/>
      <c r="L358" s="11" t="n"/>
    </row>
    <row r="359">
      <c r="A359" s="9" t="inlineStr">
        <is>
          <t>M358</t>
        </is>
      </c>
      <c r="B359" s="10" t="inlineStr">
        <is>
          <t>Noir – conforme</t>
        </is>
      </c>
      <c r="C359" s="9" t="inlineStr">
        <is>
          <t>BCPST2</t>
        </is>
      </c>
      <c r="D359" s="9" t="inlineStr">
        <is>
          <t>BCPST2 · Algèbre linéaire 2 – Applications linéaires et matrices</t>
        </is>
      </c>
      <c r="E359" s="9" t="inlineStr">
        <is>
          <t>Définition</t>
        </is>
      </c>
      <c r="F359" s="10" t="inlineStr">
        <is>
          <t>Matrices semblables</t>
        </is>
      </c>
      <c r="G359" s="9" t="inlineStr">
        <is>
          <t>$A$ et $B$ sont semblables s'il existe $P$ inversible telle que $A=PBP^{-1}$ ; elles représentent alors le même endomorphisme dans deux bases.</t>
        </is>
      </c>
      <c r="H359" s="9" t="inlineStr">
        <is>
          <t>« Matrices semblables. »</t>
        </is>
      </c>
      <c r="I359" s="9" t="n">
        <v>15</v>
      </c>
      <c r="J359" s="9" t="inlineStr"/>
      <c r="K359" s="11" t="n"/>
      <c r="L359" s="11" t="n"/>
    </row>
    <row r="360">
      <c r="A360" s="9" t="inlineStr">
        <is>
          <t>M359</t>
        </is>
      </c>
      <c r="B360" s="10" t="inlineStr">
        <is>
          <t>Noir – conforme</t>
        </is>
      </c>
      <c r="C360" s="9" t="inlineStr">
        <is>
          <t>BCPST2</t>
        </is>
      </c>
      <c r="D360" s="9" t="inlineStr">
        <is>
          <t>BCPST2 · Algèbre linéaire 3 – Valeurs propres</t>
        </is>
      </c>
      <c r="E360" s="9" t="inlineStr">
        <is>
          <t>Définition</t>
        </is>
      </c>
      <c r="F360" s="10" t="inlineStr">
        <is>
          <t>Valeur propre – Définition</t>
        </is>
      </c>
      <c r="G360" s="9" t="inlineStr">
        <is>
          <t>$\lambda\in\mathbb K$ est valeur propre de $f\in\mathcal L(E)$ s'il existe $x\neq0$ tel que $f(x)=\lambda x$, i.e. $f-\lambda\,\mathrm{Id}_E$ non injectif.</t>
        </is>
      </c>
      <c r="H360" s="9" t="inlineStr">
        <is>
          <t>« Valeurs propres, vecteurs propres, sous-espaces propres d'un endomorphisme. »</t>
        </is>
      </c>
      <c r="I360" s="9" t="n">
        <v>16</v>
      </c>
      <c r="J360" s="9" t="inlineStr"/>
      <c r="K360" s="11" t="n"/>
      <c r="L360" s="11" t="n"/>
    </row>
    <row r="361">
      <c r="A361" s="9" t="inlineStr">
        <is>
          <t>M360</t>
        </is>
      </c>
      <c r="B361" s="10" t="inlineStr">
        <is>
          <t>Noir – conforme</t>
        </is>
      </c>
      <c r="C361" s="9" t="inlineStr">
        <is>
          <t>BCPST2</t>
        </is>
      </c>
      <c r="D361" s="9" t="inlineStr">
        <is>
          <t>BCPST2 · Algèbre linéaire 3 – Valeurs propres</t>
        </is>
      </c>
      <c r="E361" s="9" t="inlineStr">
        <is>
          <t>Définition</t>
        </is>
      </c>
      <c r="F361" s="10" t="inlineStr">
        <is>
          <t>Spectre d'un endomorphisme</t>
        </is>
      </c>
      <c r="G361" s="9" t="inlineStr">
        <is>
          <t>$\mathrm{Sp}(f)$ = ensemble des valeurs propres de $f$.</t>
        </is>
      </c>
      <c r="H361" s="9" t="inlineStr">
        <is>
          <t>« On appelle spectre de l'endomorphisme f … l'ensemble des valeurs propres. »</t>
        </is>
      </c>
      <c r="I361" s="9" t="n">
        <v>16</v>
      </c>
      <c r="J361" s="9" t="inlineStr"/>
      <c r="K361" s="11" t="n"/>
      <c r="L361" s="11" t="n"/>
    </row>
    <row r="362">
      <c r="A362" s="9" t="inlineStr">
        <is>
          <t>M361</t>
        </is>
      </c>
      <c r="B362" s="10" t="inlineStr">
        <is>
          <t>Noir – conforme</t>
        </is>
      </c>
      <c r="C362" s="9" t="inlineStr">
        <is>
          <t>BCPST2</t>
        </is>
      </c>
      <c r="D362" s="9" t="inlineStr">
        <is>
          <t>BCPST2 · Algèbre linéaire 3 – Valeurs propres</t>
        </is>
      </c>
      <c r="E362" s="9" t="inlineStr">
        <is>
          <t>Définition</t>
        </is>
      </c>
      <c r="F362" s="10" t="inlineStr">
        <is>
          <t>Vecteur propre – Définition</t>
        </is>
      </c>
      <c r="G362" s="9" t="inlineStr">
        <is>
          <t>$x\neq0$ est vecteur propre de $f$ s'il existe $\lambda\in\mathbb K$ tel que $f(x)=\lambda x$.</t>
        </is>
      </c>
      <c r="H362" s="9" t="inlineStr">
        <is>
          <t>« Valeurs propres, vecteurs propres, sous-espaces propres d'un endomorphisme. »</t>
        </is>
      </c>
      <c r="I362" s="9" t="n">
        <v>17</v>
      </c>
      <c r="J362" s="9" t="inlineStr"/>
      <c r="K362" s="11" t="n"/>
      <c r="L362" s="11" t="n"/>
    </row>
    <row r="363">
      <c r="A363" s="9" t="inlineStr">
        <is>
          <t>M362</t>
        </is>
      </c>
      <c r="B363" s="10" t="inlineStr">
        <is>
          <t>Noir – conforme</t>
        </is>
      </c>
      <c r="C363" s="9" t="inlineStr">
        <is>
          <t>BCPST2</t>
        </is>
      </c>
      <c r="D363" s="9" t="inlineStr">
        <is>
          <t>BCPST2 · Algèbre linéaire 3 – Valeurs propres</t>
        </is>
      </c>
      <c r="E363" s="9" t="inlineStr">
        <is>
          <t>Définition</t>
        </is>
      </c>
      <c r="F363" s="10" t="inlineStr">
        <is>
          <t>Sous-espace propre – Définition</t>
        </is>
      </c>
      <c r="G363" s="9" t="inlineStr">
        <is>
          <t>$E_\lambda(f)=\mathrm{Ker}(f-\lambda\,\mathrm{Id}_E)$ : vecteurs propres associés à $\lambda$, et le vecteur nul.</t>
        </is>
      </c>
      <c r="H363" s="9" t="inlineStr">
        <is>
          <t>« Valeurs propres, vecteurs propres, sous-espaces propres d'un endomorphisme. »</t>
        </is>
      </c>
      <c r="I363" s="9" t="n">
        <v>17</v>
      </c>
      <c r="J363" s="9" t="inlineStr"/>
      <c r="K363" s="11" t="n"/>
      <c r="L363" s="11" t="n"/>
    </row>
    <row r="364">
      <c r="A364" s="9" t="inlineStr">
        <is>
          <t>M363</t>
        </is>
      </c>
      <c r="B364" s="10" t="inlineStr">
        <is>
          <t>Noir – conforme</t>
        </is>
      </c>
      <c r="C364" s="9" t="inlineStr">
        <is>
          <t>BCPST2</t>
        </is>
      </c>
      <c r="D364" s="9" t="inlineStr">
        <is>
          <t>BCPST2 · Algèbre linéaire 3 – Valeurs propres</t>
        </is>
      </c>
      <c r="E364" s="9" t="inlineStr">
        <is>
          <t>Définition</t>
        </is>
      </c>
      <c r="F364" s="10" t="inlineStr">
        <is>
          <t>Diagonalisabilité – Définition</t>
        </is>
      </c>
      <c r="G364" s="9" t="inlineStr">
        <is>
          <t>$f\in\mathcal L(E)$ est diagonalisable s'il existe une base de $E$ formée de vecteurs propres de $f$. $M\in\mathcal M_n(\mathbb K)$ est diagonalisable si elle est semblable à une matrice diagonale.</t>
        </is>
      </c>
      <c r="H364" s="9" t="inlineStr">
        <is>
          <t>« En dimension finie, endomorphisme diagonalisable. Matrice diagonalisable. »</t>
        </is>
      </c>
      <c r="I364" s="9" t="n">
        <v>17</v>
      </c>
      <c r="J364" s="9" t="inlineStr"/>
      <c r="K364" s="11" t="n"/>
      <c r="L364" s="11" t="n"/>
    </row>
    <row r="365">
      <c r="A365" s="9" t="inlineStr">
        <is>
          <t>M364</t>
        </is>
      </c>
      <c r="B365" s="10" t="inlineStr">
        <is>
          <t>Noir – conforme</t>
        </is>
      </c>
      <c r="C365" s="9" t="inlineStr">
        <is>
          <t>BCPST2</t>
        </is>
      </c>
      <c r="D365" s="9" t="inlineStr">
        <is>
          <t>BCPST2 · Algèbre linéaire 3 – Valeurs propres</t>
        </is>
      </c>
      <c r="E365" s="9" t="inlineStr">
        <is>
          <t>Propriété</t>
        </is>
      </c>
      <c r="F365" s="10" t="inlineStr">
        <is>
          <t>Diagonalisabilité – Propriété</t>
        </is>
      </c>
      <c r="G365" s="9" t="inlineStr">
        <is>
          <t>$f$ diagonalisable $\iff$ une matrice de $f$ est diagonalisable $\iff$ toutes ses matrices le sont.</t>
        </is>
      </c>
      <c r="H365" s="9" t="inlineStr">
        <is>
          <t>« En dimension finie, on fait le lien entre les éléments propres d'un endomorphisme et ceux d'une matrice qui le représente. »</t>
        </is>
      </c>
      <c r="I365" s="9" t="n">
        <v>17</v>
      </c>
      <c r="J365" s="9" t="inlineStr"/>
      <c r="K365" s="11" t="n"/>
      <c r="L365" s="11" t="n"/>
    </row>
    <row r="366">
      <c r="A366" s="12" t="inlineStr">
        <is>
          <t>M365</t>
        </is>
      </c>
      <c r="B366" s="13" t="inlineStr">
        <is>
          <t>Orange – incertain</t>
        </is>
      </c>
      <c r="C366" s="12" t="inlineStr">
        <is>
          <t>BCPST2</t>
        </is>
      </c>
      <c r="D366" s="12" t="inlineStr">
        <is>
          <t>BCPST2 · Algèbre linéaire 3 – Valeurs propres</t>
        </is>
      </c>
      <c r="E366" s="12" t="inlineStr">
        <is>
          <t>Théorème</t>
        </is>
      </c>
      <c r="F366" s="13" t="inlineStr">
        <is>
          <t>Existence de valeurs propres complexes</t>
        </is>
      </c>
      <c r="G366" s="12" t="inlineStr">
        <is>
          <t>Toute matrice carrée à coefficients complexes possède au moins une valeur propre.</t>
        </is>
      </c>
      <c r="H366" s="12" t="inlineStr">
        <is>
          <t>Programme muet : notion non mentionnée. (Le polynôme caractéristique n'est pas au programme ; « La notion de polynôme annulateur est hors programme ».)</t>
        </is>
      </c>
      <c r="I366" s="12" t="n">
        <v>17</v>
      </c>
      <c r="J366" s="12" t="inlineStr"/>
      <c r="K366" s="14" t="n"/>
      <c r="L366" s="14" t="n"/>
    </row>
    <row r="367">
      <c r="A367" s="9" t="inlineStr">
        <is>
          <t>M366</t>
        </is>
      </c>
      <c r="B367" s="10" t="inlineStr">
        <is>
          <t>Noir – conforme</t>
        </is>
      </c>
      <c r="C367" s="9" t="inlineStr">
        <is>
          <t>BCPST2</t>
        </is>
      </c>
      <c r="D367" s="9" t="inlineStr">
        <is>
          <t>BCPST2 · Algèbre linéaire 3 – Valeurs propres</t>
        </is>
      </c>
      <c r="E367" s="9" t="inlineStr">
        <is>
          <t>Théorème</t>
        </is>
      </c>
      <c r="F367" s="10" t="inlineStr">
        <is>
          <t>Liberté d'une famille de vecteurs propres</t>
        </is>
      </c>
      <c r="G367" s="9" t="inlineStr">
        <is>
          <t>Des vecteurs propres associés à des valeurs propres deux à deux distinctes forment une famille libre ; la juxtaposition de bases de sous-espaces propres associés à des valeurs propres distinctes est libre.</t>
        </is>
      </c>
      <c r="H367" s="9" t="inlineStr">
        <is>
          <t>« Une famille finie de vecteurs propres associés à des valeurs propres distinctes est libre. … juxtaposition de bases de sous-espaces propres … est libre. »</t>
        </is>
      </c>
      <c r="I367" s="9" t="n">
        <v>17</v>
      </c>
      <c r="J367" s="9" t="inlineStr">
        <is>
          <t>Cadre à cheval sur les pages 17 et 18</t>
        </is>
      </c>
      <c r="K367" s="11" t="n"/>
      <c r="L367" s="11" t="n"/>
    </row>
    <row r="368">
      <c r="A368" s="9" t="inlineStr">
        <is>
          <t>M367</t>
        </is>
      </c>
      <c r="B368" s="10" t="inlineStr">
        <is>
          <t>Noir – conforme</t>
        </is>
      </c>
      <c r="C368" s="9" t="inlineStr">
        <is>
          <t>BCPST2</t>
        </is>
      </c>
      <c r="D368" s="9" t="inlineStr">
        <is>
          <t>BCPST2 · Algèbre linéaire 3 – Valeurs propres</t>
        </is>
      </c>
      <c r="E368" s="9" t="inlineStr">
        <is>
          <t>Théorème</t>
        </is>
      </c>
      <c r="F368" s="10" t="inlineStr">
        <is>
          <t>Condition suffisante de diagonalisabilité</t>
        </is>
      </c>
      <c r="G368" s="9" t="inlineStr">
        <is>
          <t>Si $\dim E=n$ et $f$ admet $n$ valeurs propres deux à deux distinctes, alors $f$ est diagonalisable.</t>
        </is>
      </c>
      <c r="H368" s="9" t="inlineStr">
        <is>
          <t>« Un endomorphisme en dimension n ou une matrice carrée n×n ayant n valeurs propres distinctes est diagonalisable. »</t>
        </is>
      </c>
      <c r="I368" s="9" t="n">
        <v>18</v>
      </c>
      <c r="J368" s="9" t="inlineStr"/>
      <c r="K368" s="11" t="n"/>
      <c r="L368" s="11" t="n"/>
    </row>
    <row r="369">
      <c r="A369" s="15" t="inlineStr">
        <is>
          <t>M368</t>
        </is>
      </c>
      <c r="B369" s="16" t="inlineStr">
        <is>
          <t>Rouge – hors programme</t>
        </is>
      </c>
      <c r="C369" s="15" t="inlineStr">
        <is>
          <t>BCPST2</t>
        </is>
      </c>
      <c r="D369" s="15" t="inlineStr">
        <is>
          <t>BCPST2 · Géométrie – Produit scalaire dans Rⁿ</t>
        </is>
      </c>
      <c r="E369" s="15" t="inlineStr">
        <is>
          <t>Définition</t>
        </is>
      </c>
      <c r="F369" s="16" t="inlineStr">
        <is>
          <t>Projecteur – Définition</t>
        </is>
      </c>
      <c r="G369" s="15" t="inlineStr">
        <is>
          <t>Si $E=A\oplus B$, l'application $p:x=a+b\mapsto a$ est le projecteur sur $A$ parallèlement à $B$.</t>
        </is>
      </c>
      <c r="H369" s="15" t="inlineStr">
        <is>
          <t>« les notions générales de sommes de sous-espaces vectoriels et de projections ne sont pas au programme » (seule la projection orthogonale dans Rⁿ l'est).</t>
        </is>
      </c>
      <c r="I369" s="15" t="n">
        <v>11</v>
      </c>
      <c r="J369" s="15" t="inlineStr"/>
      <c r="K369" s="17" t="n"/>
      <c r="L369" s="17" t="n"/>
    </row>
    <row r="370">
      <c r="A370" s="9" t="inlineStr">
        <is>
          <t>M369</t>
        </is>
      </c>
      <c r="B370" s="10" t="inlineStr">
        <is>
          <t>Noir – conforme</t>
        </is>
      </c>
      <c r="C370" s="9" t="inlineStr">
        <is>
          <t>BCPST2</t>
        </is>
      </c>
      <c r="D370" s="9" t="inlineStr">
        <is>
          <t>BCPST2 · Géométrie – Produit scalaire dans Rⁿ</t>
        </is>
      </c>
      <c r="E370" s="9" t="inlineStr">
        <is>
          <t>Théorème</t>
        </is>
      </c>
      <c r="F370" s="10" t="inlineStr">
        <is>
          <t>Diagonalisation des matrices symétriques réelles</t>
        </is>
      </c>
      <c r="G370" s="9" t="inlineStr">
        <is>
          <t>Toute matrice symétrique réelle est diagonalisable (et ses valeurs propres sont réelles).</t>
        </is>
      </c>
      <c r="H370" s="9" t="inlineStr">
        <is>
          <t>« Toute matrice symétrique réelle est diagonalisable en base orthonormale. » (démonstration hors programme)</t>
        </is>
      </c>
      <c r="I370" s="9" t="n">
        <v>18</v>
      </c>
      <c r="J370" s="9" t="inlineStr"/>
      <c r="K370" s="11" t="n"/>
      <c r="L370" s="11" t="n"/>
    </row>
    <row r="371">
      <c r="A371" s="9" t="inlineStr">
        <is>
          <t>M370</t>
        </is>
      </c>
      <c r="B371" s="10" t="inlineStr">
        <is>
          <t>Noir – conforme</t>
        </is>
      </c>
      <c r="C371" s="9" t="inlineStr">
        <is>
          <t>BCPST2</t>
        </is>
      </c>
      <c r="D371" s="9" t="inlineStr">
        <is>
          <t>BCPST2 · Géométrie – Produit scalaire dans Rⁿ</t>
        </is>
      </c>
      <c r="E371" s="9" t="inlineStr">
        <is>
          <t>Propriété</t>
        </is>
      </c>
      <c r="F371" s="10" t="inlineStr">
        <is>
          <t>Produit scalaire dans une base orthonormale (écriture matricielle)</t>
        </is>
      </c>
      <c r="G371" s="9" t="inlineStr">
        <is>
          <t>En base orthonormale : $\vec u\cdot\vec v=xx'+yy'={}^tUV$ et $\|\vec u\|=\sqrt{{}^tUU}$.</t>
        </is>
      </c>
      <c r="H371" s="9" t="inlineStr">
        <is>
          <t>« Produit scalaire usuel dans Rⁿ. Écriture matricielle. »</t>
        </is>
      </c>
      <c r="I371" s="9" t="n">
        <v>53</v>
      </c>
      <c r="J371" s="9" t="inlineStr"/>
      <c r="K371" s="11" t="n"/>
      <c r="L371" s="11" t="n"/>
    </row>
    <row r="372">
      <c r="A372" s="9" t="inlineStr">
        <is>
          <t>M371</t>
        </is>
      </c>
      <c r="B372" s="10" t="inlineStr">
        <is>
          <t>Noir – conforme</t>
        </is>
      </c>
      <c r="C372" s="9" t="inlineStr">
        <is>
          <t>BCPST2</t>
        </is>
      </c>
      <c r="D372" s="9" t="inlineStr">
        <is>
          <t>BCPST2 · Géométrie – Produit scalaire dans Rⁿ</t>
        </is>
      </c>
      <c r="E372" s="9" t="inlineStr">
        <is>
          <t>Théorème</t>
        </is>
      </c>
      <c r="F372" s="10" t="inlineStr">
        <is>
          <t>Inégalité de Cauchy-Schwarz</t>
        </is>
      </c>
      <c r="G372" s="9" t="inlineStr">
        <is>
          <t>$|\vec u\cdot\vec v|\le\|\vec u\|\|\vec v\|$, avec égalité ssi $\vec u$ et $\vec v$ sont colinéaires.</t>
        </is>
      </c>
      <c r="H372" s="9" t="inlineStr">
        <is>
          <t>« Inégalité de Cauchy-Schwarz et inégalité triangulaire. Cas d'égalité. » (G1 : « On pourra énoncer l'inégalité de Cauchy-Schwarz »)</t>
        </is>
      </c>
      <c r="I372" s="9" t="n">
        <v>54</v>
      </c>
      <c r="J372" s="9" t="inlineStr"/>
      <c r="K372" s="11" t="n"/>
      <c r="L372" s="11" t="n"/>
    </row>
    <row r="373">
      <c r="A373" s="9" t="inlineStr">
        <is>
          <t>M372</t>
        </is>
      </c>
      <c r="B373" s="10" t="inlineStr">
        <is>
          <t>Noir – conforme</t>
        </is>
      </c>
      <c r="C373" s="9" t="inlineStr">
        <is>
          <t>BCPST2</t>
        </is>
      </c>
      <c r="D373" s="9" t="inlineStr">
        <is>
          <t>BCPST2 · Géométrie – Produit scalaire dans Rⁿ</t>
        </is>
      </c>
      <c r="E373" s="9" t="inlineStr">
        <is>
          <t>Théorème</t>
        </is>
      </c>
      <c r="F373" s="10" t="inlineStr">
        <is>
          <t>Inégalité triangulaire (vecteurs)</t>
        </is>
      </c>
      <c r="G373" s="9" t="inlineStr">
        <is>
          <t>$\|\vec u+\vec v\|\le\|\vec u\|+\|\vec v\|$, avec égalité ssi les vecteurs sont colinéaires de même sens.</t>
        </is>
      </c>
      <c r="H373" s="9" t="inlineStr">
        <is>
          <t>« Inégalité de Cauchy-Schwarz et inégalité triangulaire. Cas d'égalité. »</t>
        </is>
      </c>
      <c r="I373" s="9" t="n">
        <v>54</v>
      </c>
      <c r="J373" s="9" t="inlineStr"/>
      <c r="K373" s="11" t="n"/>
      <c r="L373" s="11" t="n"/>
    </row>
    <row r="374">
      <c r="A374" s="9" t="inlineStr">
        <is>
          <t>M373</t>
        </is>
      </c>
      <c r="B374" s="10" t="inlineStr">
        <is>
          <t>Noir – conforme</t>
        </is>
      </c>
      <c r="C374" s="9" t="inlineStr">
        <is>
          <t>BCPST2</t>
        </is>
      </c>
      <c r="D374" s="9" t="inlineStr">
        <is>
          <t>BCPST2 · Géométrie – Produit scalaire dans Rⁿ</t>
        </is>
      </c>
      <c r="E374" s="9" t="inlineStr">
        <is>
          <t>Théorème</t>
        </is>
      </c>
      <c r="F374" s="10" t="inlineStr">
        <is>
          <t>Théorème de Pythagore</t>
        </is>
      </c>
      <c r="G374" s="9" t="inlineStr">
        <is>
          <t>Si $\vec u\perp\vec v$ : $\|\vec u+\vec v\|^2=\|\vec u\|^2+\|\vec v\|^2$.</t>
        </is>
      </c>
      <c r="H374" s="9" t="inlineStr">
        <is>
          <t>« Théorème de Pythagore. »</t>
        </is>
      </c>
      <c r="I374" s="9" t="n">
        <v>55</v>
      </c>
      <c r="J374" s="9" t="inlineStr"/>
      <c r="K374" s="11" t="n"/>
      <c r="L374" s="11" t="n"/>
    </row>
    <row r="375">
      <c r="A375" s="9" t="inlineStr">
        <is>
          <t>M374</t>
        </is>
      </c>
      <c r="B375" s="10" t="inlineStr">
        <is>
          <t>Noir – conforme</t>
        </is>
      </c>
      <c r="C375" s="9" t="inlineStr">
        <is>
          <t>BCPST2</t>
        </is>
      </c>
      <c r="D375" s="9" t="inlineStr">
        <is>
          <t>BCPST2 · Géométrie – Produit scalaire dans Rⁿ</t>
        </is>
      </c>
      <c r="E375" s="9" t="inlineStr">
        <is>
          <t>Propriété</t>
        </is>
      </c>
      <c r="F375" s="10" t="inlineStr">
        <is>
          <t>Produit scalaire dans une base orthonormale de l'espace (écriture matricielle)</t>
        </is>
      </c>
      <c r="G375" s="9" t="inlineStr">
        <is>
          <t>En base orthonormale : $\vec u\cdot\vec v=xx'+yy'+zz'={}^tUV$ ; $\|\vec u\|=\sqrt{{}^tUU}$.</t>
        </is>
      </c>
      <c r="H375" s="9" t="inlineStr">
        <is>
          <t>« Produit scalaire usuel dans Rⁿ. Écriture matricielle. »</t>
        </is>
      </c>
      <c r="I375" s="9" t="n">
        <v>63</v>
      </c>
      <c r="J375" s="9" t="inlineStr"/>
      <c r="K375" s="11" t="n"/>
      <c r="L375" s="11" t="n"/>
    </row>
    <row r="376">
      <c r="A376" s="9" t="inlineStr">
        <is>
          <t>M375</t>
        </is>
      </c>
      <c r="B376" s="10" t="inlineStr">
        <is>
          <t>Noir – conforme</t>
        </is>
      </c>
      <c r="C376" s="9" t="inlineStr">
        <is>
          <t>BCPST2</t>
        </is>
      </c>
      <c r="D376" s="9" t="inlineStr">
        <is>
          <t>BCPST2 · Géométrie – Produit scalaire dans Rⁿ</t>
        </is>
      </c>
      <c r="E376" s="9" t="inlineStr">
        <is>
          <t>Théorème</t>
        </is>
      </c>
      <c r="F376" s="10" t="inlineStr">
        <is>
          <t>Inégalité de Cauchy-Schwarz (espace)</t>
        </is>
      </c>
      <c r="G376" s="9" t="inlineStr">
        <is>
          <t>$|\vec u\cdot\vec v|\le\|\vec u\|\|\vec v\|$, égalité ssi colinéaires.</t>
        </is>
      </c>
      <c r="H376" s="9" t="inlineStr">
        <is>
          <t>« Inégalité de Cauchy-Schwarz … Cas d'égalité. »</t>
        </is>
      </c>
      <c r="I376" s="9" t="n">
        <v>64</v>
      </c>
      <c r="J376" s="9" t="inlineStr">
        <is>
          <t>Doublon de la version « plan »</t>
        </is>
      </c>
      <c r="K376" s="11" t="n"/>
      <c r="L376" s="11" t="n"/>
    </row>
    <row r="377">
      <c r="A377" s="9" t="inlineStr">
        <is>
          <t>M376</t>
        </is>
      </c>
      <c r="B377" s="10" t="inlineStr">
        <is>
          <t>Noir – conforme</t>
        </is>
      </c>
      <c r="C377" s="9" t="inlineStr">
        <is>
          <t>BCPST2</t>
        </is>
      </c>
      <c r="D377" s="9" t="inlineStr">
        <is>
          <t>BCPST2 · Géométrie – Produit scalaire dans Rⁿ</t>
        </is>
      </c>
      <c r="E377" s="9" t="inlineStr">
        <is>
          <t>Théorème</t>
        </is>
      </c>
      <c r="F377" s="10" t="inlineStr">
        <is>
          <t>Inégalité triangulaire (espace)</t>
        </is>
      </c>
      <c r="G377" s="9" t="inlineStr">
        <is>
          <t>$\|\vec u+\vec v\|\le\|\vec u\|+\|\vec v\|$, égalité ssi colinéaires de même sens.</t>
        </is>
      </c>
      <c r="H377" s="9" t="inlineStr">
        <is>
          <t>« inégalité triangulaire. Cas d'égalité. »</t>
        </is>
      </c>
      <c r="I377" s="9" t="n">
        <v>64</v>
      </c>
      <c r="J377" s="9" t="inlineStr">
        <is>
          <t>Doublon de la version « plan »</t>
        </is>
      </c>
      <c r="K377" s="11" t="n"/>
      <c r="L377" s="11" t="n"/>
    </row>
    <row r="378">
      <c r="A378" s="9" t="inlineStr">
        <is>
          <t>M377</t>
        </is>
      </c>
      <c r="B378" s="10" t="inlineStr">
        <is>
          <t>Noir – conforme</t>
        </is>
      </c>
      <c r="C378" s="9" t="inlineStr">
        <is>
          <t>BCPST2</t>
        </is>
      </c>
      <c r="D378" s="9" t="inlineStr">
        <is>
          <t>BCPST2 · Géométrie – Produit scalaire dans Rⁿ</t>
        </is>
      </c>
      <c r="E378" s="9" t="inlineStr">
        <is>
          <t>Théorème</t>
        </is>
      </c>
      <c r="F378" s="10" t="inlineStr">
        <is>
          <t>Orthogonalité et Pythagore (espace)</t>
        </is>
      </c>
      <c r="G378" s="9" t="inlineStr">
        <is>
          <t>$\vec u\perp\vec v\iff\vec u\cdot\vec v=0$ ; alors $\|\vec u+\vec v\|^2=\|\vec u\|^2+\|\vec v\|^2$.</t>
        </is>
      </c>
      <c r="H378" s="9" t="inlineStr">
        <is>
          <t>« Vecteurs orthogonaux … Théorème de Pythagore. »</t>
        </is>
      </c>
      <c r="I378" s="9" t="n">
        <v>64</v>
      </c>
      <c r="J378" s="9" t="inlineStr">
        <is>
          <t>Deux cadres de l'ouvrage regroupés (doublons du plan)</t>
        </is>
      </c>
      <c r="K378" s="11" t="n"/>
      <c r="L378" s="11" t="n"/>
    </row>
    <row r="379">
      <c r="A379" s="9" t="inlineStr">
        <is>
          <t>M378</t>
        </is>
      </c>
      <c r="B379" s="10" t="inlineStr">
        <is>
          <t>Noir – conforme</t>
        </is>
      </c>
      <c r="C379" s="9" t="inlineStr">
        <is>
          <t>BCPST2</t>
        </is>
      </c>
      <c r="D379" s="9" t="inlineStr">
        <is>
          <t>BCPST2 · Probabilités 1 – Concepts de base</t>
        </is>
      </c>
      <c r="E379" s="9" t="inlineStr">
        <is>
          <t>Définition</t>
        </is>
      </c>
      <c r="F379" s="10" t="inlineStr">
        <is>
          <t>Probabilité – Définition</t>
        </is>
      </c>
      <c r="G379" s="9" t="inlineStr">
        <is>
          <t>$P:\mathcal F\to[0,1]$ avec $P(\Omega)=1$ et additivité pour deux événements incompatibles (univers fini) ; $\sigma$-additivité pour une suite d'événements deux à deux incompatibles (univers infini).</t>
        </is>
      </c>
      <c r="H379" s="9" t="inlineStr">
        <is>
          <t>« Définition d'une probabilité sur (Ω, T). On met en valeur l'axiome de σ-additivité. »</t>
        </is>
      </c>
      <c r="I379" s="9" t="n">
        <v>75</v>
      </c>
      <c r="J379" s="9" t="inlineStr"/>
      <c r="K379" s="11" t="n"/>
      <c r="L379" s="11" t="n"/>
    </row>
    <row r="380">
      <c r="A380" s="9" t="inlineStr">
        <is>
          <t>M379</t>
        </is>
      </c>
      <c r="B380" s="10" t="inlineStr">
        <is>
          <t>Noir – conforme</t>
        </is>
      </c>
      <c r="C380" s="9" t="inlineStr">
        <is>
          <t>BCPST2</t>
        </is>
      </c>
      <c r="D380" s="9" t="inlineStr">
        <is>
          <t>BCPST2 · Probabilités 1 – Concepts de base</t>
        </is>
      </c>
      <c r="E380" s="9" t="inlineStr">
        <is>
          <t>Définition</t>
        </is>
      </c>
      <c r="F380" s="10" t="inlineStr">
        <is>
          <t>Fonction de répartition – Définition</t>
        </is>
      </c>
      <c r="G380" s="9" t="inlineStr">
        <is>
          <t>$F_X(t)=P(X\le t)$ pour $t\in\mathbb R$.</t>
        </is>
      </c>
      <c r="H380" s="9" t="inlineStr">
        <is>
          <t>« Fonction de répartition : F_X : t ↦ P(X ≤ t). Croissance, limites en ±∞. »</t>
        </is>
      </c>
      <c r="I380" s="9" t="n">
        <v>78</v>
      </c>
      <c r="J380" s="9" t="inlineStr"/>
      <c r="K380" s="11" t="n"/>
      <c r="L380" s="11" t="n"/>
    </row>
    <row r="381">
      <c r="A381" s="9" t="inlineStr">
        <is>
          <t>M380</t>
        </is>
      </c>
      <c r="B381" s="10" t="inlineStr">
        <is>
          <t>Noir – conforme</t>
        </is>
      </c>
      <c r="C381" s="9" t="inlineStr">
        <is>
          <t>BCPST2</t>
        </is>
      </c>
      <c r="D381" s="9" t="inlineStr">
        <is>
          <t>BCPST2 · Probabilités 1 – Concepts de base</t>
        </is>
      </c>
      <c r="E381" s="9" t="inlineStr">
        <is>
          <t>Propriété</t>
        </is>
      </c>
      <c r="F381" s="10" t="inlineStr">
        <is>
          <t>Variables mutuellement indépendantes – Propriété</t>
        </is>
      </c>
      <c r="G381" s="9" t="inlineStr">
        <is>
          <t>$P\left(\bigcap_i[X_i\in I_i]\right)=\prod_iP(X_i\in I_i)$ pour tous intervalles $I_i$.</t>
        </is>
      </c>
      <c r="H381" s="9" t="inlineStr">
        <is>
          <t>« Généralisation au cas de n variables aléatoires » (indépendance définie par les intervalles).</t>
        </is>
      </c>
      <c r="I381" s="9" t="n">
        <v>86</v>
      </c>
      <c r="J381" s="9" t="inlineStr"/>
      <c r="K381" s="11" t="n"/>
      <c r="L381" s="11" t="n"/>
    </row>
    <row r="382">
      <c r="A382" s="9" t="inlineStr">
        <is>
          <t>M381</t>
        </is>
      </c>
      <c r="B382" s="10" t="inlineStr">
        <is>
          <t>Noir – conforme</t>
        </is>
      </c>
      <c r="C382" s="9" t="inlineStr">
        <is>
          <t>BCPST2</t>
        </is>
      </c>
      <c r="D382" s="9" t="inlineStr">
        <is>
          <t>BCPST2 · Probabilités 1 – Concepts de base</t>
        </is>
      </c>
      <c r="E382" s="9" t="inlineStr">
        <is>
          <t>Définition</t>
        </is>
      </c>
      <c r="F382" s="10" t="inlineStr">
        <is>
          <t>Fonction de répartition d'une variable à densité</t>
        </is>
      </c>
      <c r="G382" s="9" t="inlineStr">
        <is>
          <t>$F_X(t)=P(X\le t)$.</t>
        </is>
      </c>
      <c r="H382" s="9" t="inlineStr">
        <is>
          <t>« Fonction de répartition : F_X : t ↦ P(X ≤ t). »</t>
        </is>
      </c>
      <c r="I382" s="9" t="n">
        <v>87</v>
      </c>
      <c r="J382" s="9" t="inlineStr"/>
      <c r="K382" s="11" t="n"/>
      <c r="L382" s="11" t="n"/>
    </row>
    <row r="383">
      <c r="A383" s="9" t="inlineStr">
        <is>
          <t>M382</t>
        </is>
      </c>
      <c r="B383" s="10" t="inlineStr">
        <is>
          <t>Noir – conforme</t>
        </is>
      </c>
      <c r="C383" s="9" t="inlineStr">
        <is>
          <t>BCPST2</t>
        </is>
      </c>
      <c r="D383" s="9" t="inlineStr">
        <is>
          <t>BCPST2 · Probabilités 1 – Concepts de base</t>
        </is>
      </c>
      <c r="E383" s="9" t="inlineStr">
        <is>
          <t>Définition</t>
        </is>
      </c>
      <c r="F383" s="10" t="inlineStr">
        <is>
          <t>Variables à densité indépendantes deux à deux</t>
        </is>
      </c>
      <c r="G383" s="9" t="inlineStr">
        <is>
          <t>Pour $i\neq j$ et tous intervalles $I,J$ : $P(X_i\in I,X_j\in J)=P(X_i\in I)P(X_j\in J)$.</t>
        </is>
      </c>
      <c r="H383" s="9" t="inlineStr">
        <is>
          <t>« Deux variables X et Y sont dites indépendantes si pour tous intervalles I et J, P(X ∈ I ∩ Y ∈ J) = P(X ∈ I)P(Y ∈ J). »</t>
        </is>
      </c>
      <c r="I383" s="9" t="n">
        <v>92</v>
      </c>
      <c r="J383" s="9" t="inlineStr"/>
      <c r="K383" s="11" t="n"/>
      <c r="L383" s="11" t="n"/>
    </row>
    <row r="384">
      <c r="A384" s="9" t="inlineStr">
        <is>
          <t>M383</t>
        </is>
      </c>
      <c r="B384" s="10" t="inlineStr">
        <is>
          <t>Noir – conforme</t>
        </is>
      </c>
      <c r="C384" s="9" t="inlineStr">
        <is>
          <t>BCPST2</t>
        </is>
      </c>
      <c r="D384" s="9" t="inlineStr">
        <is>
          <t>BCPST2 · Probabilités 1 – Concepts de base</t>
        </is>
      </c>
      <c r="E384" s="9" t="inlineStr">
        <is>
          <t>Définition</t>
        </is>
      </c>
      <c r="F384" s="10" t="inlineStr">
        <is>
          <t>Variables à densité mutuellement indépendantes</t>
        </is>
      </c>
      <c r="G384" s="9" t="inlineStr">
        <is>
          <t>$P\left(\bigcap[X_i\in I_i]\right)=\prod P(X_i\in I_i)$ pour tous intervalles ; implique l'indépendance deux à deux, réciproque fausse.</t>
        </is>
      </c>
      <c r="H384" s="9" t="inlineStr">
        <is>
          <t>« Généralisation au cas de n variables aléatoires, puis d'une suite de variables aléatoires. »</t>
        </is>
      </c>
      <c r="I384" s="9" t="n">
        <v>92</v>
      </c>
      <c r="J384" s="9" t="inlineStr"/>
      <c r="K384" s="11" t="n"/>
      <c r="L384" s="11" t="n"/>
    </row>
    <row r="385">
      <c r="A385" s="9" t="inlineStr">
        <is>
          <t>M384</t>
        </is>
      </c>
      <c r="B385" s="10" t="inlineStr">
        <is>
          <t>Noir – conforme</t>
        </is>
      </c>
      <c r="C385" s="9" t="inlineStr">
        <is>
          <t>BCPST2</t>
        </is>
      </c>
      <c r="D385" s="9" t="inlineStr">
        <is>
          <t>BCPST2 · Probabilités 2 – Variables discrètes</t>
        </is>
      </c>
      <c r="E385" s="9" t="inlineStr">
        <is>
          <t>Définition</t>
        </is>
      </c>
      <c r="F385" s="10" t="inlineStr">
        <is>
          <t>Variable aléatoire réelle discrète – Définition</t>
        </is>
      </c>
      <c r="G385" s="9" t="inlineStr">
        <is>
          <t>$X:\Omega\to\mathbb R$ telle que $[X\in I]$ soit un événement pour tout intervalle $I$ ; $X(\Omega)$ univers-image ; $X$ est discrète si $X(\Omega)$ est fini ou inclus dans $\mathbb Z$ (définition de l'ouvrage).</t>
        </is>
      </c>
      <c r="H385" s="9" t="inlineStr">
        <is>
          <t>« Une variable aléatoire réelle est dite discrète si l'ensemble X(Ω) de ses valeurs est inclus dans un sous-ensemble N de R indexé par une partie de N. » (définition différente de celle de l'ouvrage)</t>
        </is>
      </c>
      <c r="I385" s="9" t="n">
        <v>77</v>
      </c>
      <c r="J385" s="9" t="inlineStr"/>
      <c r="K385" s="11" t="n"/>
      <c r="L385" s="11" t="n"/>
    </row>
    <row r="386">
      <c r="A386" s="9" t="inlineStr">
        <is>
          <t>M385</t>
        </is>
      </c>
      <c r="B386" s="10" t="inlineStr">
        <is>
          <t>Noir – conforme</t>
        </is>
      </c>
      <c r="C386" s="9" t="inlineStr">
        <is>
          <t>BCPST2</t>
        </is>
      </c>
      <c r="D386" s="9" t="inlineStr">
        <is>
          <t>BCPST2 · Probabilités 2 – Variables discrètes</t>
        </is>
      </c>
      <c r="E386" s="9" t="inlineStr">
        <is>
          <t>Propriété</t>
        </is>
      </c>
      <c r="F386" s="10" t="inlineStr">
        <is>
          <t>Système complet associé à une variable discrète</t>
        </is>
      </c>
      <c r="G386" s="9" t="inlineStr">
        <is>
          <t>$([X=x])_{x\in X(\Omega)}$ est un système complet d'événements ; $P(X\in A)=\sum_{x\in A\cap X(\Omega)}P(X=x)$.</t>
        </is>
      </c>
      <c r="H386" s="9" t="inlineStr">
        <is>
          <t>« On met en valeur le système complet d'événements formé des événements (X = x). »</t>
        </is>
      </c>
      <c r="I386" s="9" t="n">
        <v>78</v>
      </c>
      <c r="J386" s="9" t="inlineStr"/>
      <c r="K386" s="11" t="n"/>
      <c r="L386" s="11" t="n"/>
    </row>
    <row r="387">
      <c r="A387" s="9" t="inlineStr">
        <is>
          <t>M386</t>
        </is>
      </c>
      <c r="B387" s="10" t="inlineStr">
        <is>
          <t>Noir – conforme</t>
        </is>
      </c>
      <c r="C387" s="9" t="inlineStr">
        <is>
          <t>BCPST2</t>
        </is>
      </c>
      <c r="D387" s="9" t="inlineStr">
        <is>
          <t>BCPST2 · Probabilités 2 – Variables discrètes</t>
        </is>
      </c>
      <c r="E387" s="9" t="inlineStr">
        <is>
          <t>Définition</t>
        </is>
      </c>
      <c r="F387" s="10" t="inlineStr">
        <is>
          <t>Loi d'une variable aléatoire discrète</t>
        </is>
      </c>
      <c r="G387" s="9" t="inlineStr">
        <is>
          <t>Application $x\in X(\Omega)\mapsto P(X=x)$.</t>
        </is>
      </c>
      <c r="H387" s="9" t="inlineStr">
        <is>
          <t>« Loi de probabilité … d'une variable aléatoire discrète. »</t>
        </is>
      </c>
      <c r="I387" s="9" t="n">
        <v>78</v>
      </c>
      <c r="J387" s="9" t="inlineStr"/>
      <c r="K387" s="11" t="n"/>
      <c r="L387" s="11" t="n"/>
    </row>
    <row r="388">
      <c r="A388" s="9" t="inlineStr">
        <is>
          <t>M387</t>
        </is>
      </c>
      <c r="B388" s="10" t="inlineStr">
        <is>
          <t>Noir – conforme</t>
        </is>
      </c>
      <c r="C388" s="9" t="inlineStr">
        <is>
          <t>BCPST2</t>
        </is>
      </c>
      <c r="D388" s="9" t="inlineStr">
        <is>
          <t>BCPST2 · Probabilités 2 – Variables discrètes</t>
        </is>
      </c>
      <c r="E388" s="9" t="inlineStr">
        <is>
          <t>Propriété</t>
        </is>
      </c>
      <c r="F388" s="10" t="inlineStr">
        <is>
          <t>Lien entre loi et fonction de répartition</t>
        </is>
      </c>
      <c r="G388" s="9" t="inlineStr">
        <is>
          <t>$F_X(t)=\sum_{x\le t}P(X=x)$ ; si $X(\Omega)\subset\mathbb Z$ : $P(X=n)=F_X(n)-F_X(n-1)$.</t>
        </is>
      </c>
      <c r="H388" s="9" t="inlineStr">
        <is>
          <t>« Les étudiants doivent savoir déterminer la loi d'une variable aléatoire à partir de sa fonction de répartition. »</t>
        </is>
      </c>
      <c r="I388" s="9" t="n">
        <v>78</v>
      </c>
      <c r="J388" s="9" t="inlineStr"/>
      <c r="K388" s="11" t="n"/>
      <c r="L388" s="11" t="n"/>
    </row>
    <row r="389">
      <c r="A389" s="9" t="inlineStr">
        <is>
          <t>M388</t>
        </is>
      </c>
      <c r="B389" s="10" t="inlineStr">
        <is>
          <t>Noir – conforme</t>
        </is>
      </c>
      <c r="C389" s="9" t="inlineStr">
        <is>
          <t>BCPST2</t>
        </is>
      </c>
      <c r="D389" s="9" t="inlineStr">
        <is>
          <t>BCPST2 · Probabilités 2 – Variables discrètes</t>
        </is>
      </c>
      <c r="E389" s="9" t="inlineStr">
        <is>
          <t>Définition</t>
        </is>
      </c>
      <c r="F389" s="10" t="inlineStr">
        <is>
          <t>Espérance d'une variable aléatoire discrète – Définition</t>
        </is>
      </c>
      <c r="G389" s="9" t="inlineStr">
        <is>
          <t>$E(X)=\sum_{x\in X(\Omega)}xP(X=x)$, sous réserve de convergence absolue si $X(\Omega)$ est infini.</t>
        </is>
      </c>
      <c r="H389" s="9" t="inlineStr">
        <is>
          <t>« Espérance. Propriétés (linéarité, positivité, croissance). »</t>
        </is>
      </c>
      <c r="I389" s="9" t="n">
        <v>78</v>
      </c>
      <c r="J389" s="9" t="inlineStr"/>
      <c r="K389" s="11" t="n"/>
      <c r="L389" s="11" t="n"/>
    </row>
    <row r="390">
      <c r="A390" s="9" t="inlineStr">
        <is>
          <t>M389</t>
        </is>
      </c>
      <c r="B390" s="10" t="inlineStr">
        <is>
          <t>Noir – conforme</t>
        </is>
      </c>
      <c r="C390" s="9" t="inlineStr">
        <is>
          <t>BCPST2</t>
        </is>
      </c>
      <c r="D390" s="9" t="inlineStr">
        <is>
          <t>BCPST2 · Probabilités 2 – Variables discrètes</t>
        </is>
      </c>
      <c r="E390" s="9" t="inlineStr">
        <is>
          <t>Théorème</t>
        </is>
      </c>
      <c r="F390" s="10" t="inlineStr">
        <is>
          <t>Théorème de transfert</t>
        </is>
      </c>
      <c r="G390" s="9" t="inlineStr">
        <is>
          <t>$E(u(X))=\sum_{x\in X(\Omega)}u(x)P(X=x)$, sous réserve de convergence absolue si $X(\Omega)$ est infini.</t>
        </is>
      </c>
      <c r="H390" s="9" t="inlineStr">
        <is>
          <t>« Théorème de transfert. Ce résultat peut être admis. »</t>
        </is>
      </c>
      <c r="I390" s="9" t="n">
        <v>79</v>
      </c>
      <c r="J390" s="9" t="inlineStr"/>
      <c r="K390" s="11" t="n"/>
      <c r="L390" s="11" t="n"/>
    </row>
    <row r="391">
      <c r="A391" s="9" t="inlineStr">
        <is>
          <t>M390</t>
        </is>
      </c>
      <c r="B391" s="10" t="inlineStr">
        <is>
          <t>Noir – conforme</t>
        </is>
      </c>
      <c r="C391" s="9" t="inlineStr">
        <is>
          <t>BCPST2</t>
        </is>
      </c>
      <c r="D391" s="9" t="inlineStr">
        <is>
          <t>BCPST2 · Probabilités 2 – Variables discrètes</t>
        </is>
      </c>
      <c r="E391" s="9" t="inlineStr">
        <is>
          <t>Définition</t>
        </is>
      </c>
      <c r="F391" s="10" t="inlineStr">
        <is>
          <t>Moments d'une variable aléatoire discrète</t>
        </is>
      </c>
      <c r="G391" s="9" t="inlineStr">
        <is>
          <t>Moment d'ordre $\alpha$ : $E(X^\alpha)=\sum x^\alpha P(X=x)$ (s'il existe).</t>
        </is>
      </c>
      <c r="H391" s="9" t="inlineStr">
        <is>
          <t>« Variance et moments d'une variable aléatoire. »</t>
        </is>
      </c>
      <c r="I391" s="9" t="n">
        <v>79</v>
      </c>
      <c r="J391" s="9" t="inlineStr"/>
      <c r="K391" s="11" t="n"/>
      <c r="L391" s="11" t="n"/>
    </row>
    <row r="392">
      <c r="A392" s="12" t="inlineStr">
        <is>
          <t>M391</t>
        </is>
      </c>
      <c r="B392" s="13" t="inlineStr">
        <is>
          <t>Orange – incertain</t>
        </is>
      </c>
      <c r="C392" s="12" t="inlineStr">
        <is>
          <t>BCPST2</t>
        </is>
      </c>
      <c r="D392" s="12" t="inlineStr">
        <is>
          <t>BCPST2 · Probabilités 2 – Variables discrètes</t>
        </is>
      </c>
      <c r="E392" s="12" t="inlineStr">
        <is>
          <t>Propriété</t>
        </is>
      </c>
      <c r="F392" s="13" t="inlineStr">
        <is>
          <t>Existence des moments d'ordre inférieur</t>
        </is>
      </c>
      <c r="G392" s="12" t="inlineStr">
        <is>
          <t>Si $X(\Omega)$ est fini, $X$ admet des moments de tout ordre ; si $X$ admet un moment d'ordre $\alpha$, elle admet les moments d'ordre $\beta\le\alpha$.</t>
        </is>
      </c>
      <c r="H392" s="12" t="inlineStr">
        <is>
          <t>Programme muet : notion non mentionnée.</t>
        </is>
      </c>
      <c r="I392" s="12" t="n">
        <v>79</v>
      </c>
      <c r="J392" s="12" t="inlineStr">
        <is>
          <t>Titre de l'ouvrage : « Théorème fondamental d'existence des moments »</t>
        </is>
      </c>
      <c r="K392" s="14" t="n"/>
      <c r="L392" s="14" t="n"/>
    </row>
    <row r="393">
      <c r="A393" s="9" t="inlineStr">
        <is>
          <t>M392</t>
        </is>
      </c>
      <c r="B393" s="10" t="inlineStr">
        <is>
          <t>Noir – conforme</t>
        </is>
      </c>
      <c r="C393" s="9" t="inlineStr">
        <is>
          <t>BCPST2</t>
        </is>
      </c>
      <c r="D393" s="9" t="inlineStr">
        <is>
          <t>BCPST2 · Probabilités 2 – Variables discrètes</t>
        </is>
      </c>
      <c r="E393" s="9" t="inlineStr">
        <is>
          <t>Définition</t>
        </is>
      </c>
      <c r="F393" s="10" t="inlineStr">
        <is>
          <t>Variance et écart-type</t>
        </is>
      </c>
      <c r="G393" s="9" t="inlineStr">
        <is>
          <t>$V(X)=E\big[(X-E(X))^2\big]$ ; $\sigma(X)=\sqrt{V(X)}$.</t>
        </is>
      </c>
      <c r="H393" s="9" t="inlineStr">
        <is>
          <t>« Variance et moments … Écart-type σ(X). »</t>
        </is>
      </c>
      <c r="I393" s="9" t="n">
        <v>79</v>
      </c>
      <c r="J393" s="9" t="inlineStr"/>
      <c r="K393" s="11" t="n"/>
      <c r="L393" s="11" t="n"/>
    </row>
    <row r="394">
      <c r="A394" s="9" t="inlineStr">
        <is>
          <t>M393</t>
        </is>
      </c>
      <c r="B394" s="10" t="inlineStr">
        <is>
          <t>Noir – conforme</t>
        </is>
      </c>
      <c r="C394" s="9" t="inlineStr">
        <is>
          <t>BCPST2</t>
        </is>
      </c>
      <c r="D394" s="9" t="inlineStr">
        <is>
          <t>BCPST2 · Probabilités 2 – Variables discrètes</t>
        </is>
      </c>
      <c r="E394" s="9" t="inlineStr">
        <is>
          <t>Théorème</t>
        </is>
      </c>
      <c r="F394" s="10" t="inlineStr">
        <is>
          <t>Formule de König-Huygens (variance)</t>
        </is>
      </c>
      <c r="G394" s="9" t="inlineStr">
        <is>
          <t>$V(X)=E(X^2)-E(X)^2$.</t>
        </is>
      </c>
      <c r="H394" s="9" t="inlineStr">
        <is>
          <t>« Formule de König-Huygens V(X) = E(X²) − E(X)². »</t>
        </is>
      </c>
      <c r="I394" s="9" t="n">
        <v>79</v>
      </c>
      <c r="J394" s="9" t="inlineStr"/>
      <c r="K394" s="11" t="n"/>
      <c r="L394" s="11" t="n"/>
    </row>
    <row r="395">
      <c r="A395" s="9" t="inlineStr">
        <is>
          <t>M394</t>
        </is>
      </c>
      <c r="B395" s="10" t="inlineStr">
        <is>
          <t>Noir – conforme</t>
        </is>
      </c>
      <c r="C395" s="9" t="inlineStr">
        <is>
          <t>BCPST2</t>
        </is>
      </c>
      <c r="D395" s="9" t="inlineStr">
        <is>
          <t>BCPST2 · Probabilités 2 – Variables discrètes</t>
        </is>
      </c>
      <c r="E395" s="9" t="inlineStr">
        <is>
          <t>Propriété</t>
        </is>
      </c>
      <c r="F395" s="10" t="inlineStr">
        <is>
          <t>Loi de Poisson</t>
        </is>
      </c>
      <c r="G395" s="9" t="inlineStr">
        <is>
          <t>$X\sim\mathcal P(\lambda)$ : $P(X=k)=e^{-\lambda}\frac{\lambda^k}{k!}$, $k\in\mathbb N$ ; $E(X)=V(X)=\lambda$.</t>
        </is>
      </c>
      <c r="H395" s="9" t="inlineStr">
        <is>
          <t>« Loi de Poisson. Espérance, variance. »</t>
        </is>
      </c>
      <c r="I395" s="9" t="n">
        <v>81</v>
      </c>
      <c r="J395" s="9" t="inlineStr"/>
      <c r="K395" s="11" t="n"/>
      <c r="L395" s="11" t="n"/>
    </row>
    <row r="396">
      <c r="A396" s="9" t="inlineStr">
        <is>
          <t>M395</t>
        </is>
      </c>
      <c r="B396" s="10" t="inlineStr">
        <is>
          <t>Noir – conforme</t>
        </is>
      </c>
      <c r="C396" s="9" t="inlineStr">
        <is>
          <t>BCPST2</t>
        </is>
      </c>
      <c r="D396" s="9" t="inlineStr">
        <is>
          <t>BCPST2 · Probabilités 2 – Variables discrètes</t>
        </is>
      </c>
      <c r="E396" s="9" t="inlineStr">
        <is>
          <t>Propriété</t>
        </is>
      </c>
      <c r="F396" s="10" t="inlineStr">
        <is>
          <t>Loi géométrique</t>
        </is>
      </c>
      <c r="G396" s="9" t="inlineStr">
        <is>
          <t>$X\sim\mathcal G(p)$ : $X(\Omega)=\mathbb N^*$, $P(X=k)=p(1-p)^{k-1}$ ; $E(X)=\frac1p$, $V(X)=\frac{1-p}{p^2}$. $X$ = rang du premier succès dans une suite d'épreuves de Bernoulli indépendantes.</t>
        </is>
      </c>
      <c r="H396" s="9" t="inlineStr">
        <is>
          <t>« On présente la loi géométrique comme loi du nombre d'épreuves nécessaires pour obtenir le premier succès. » ; « Propriété … d'absence de mémoire ».</t>
        </is>
      </c>
      <c r="I396" s="9" t="n">
        <v>81</v>
      </c>
      <c r="J396" s="9" t="inlineStr">
        <is>
          <t>ERREUR DANS L'OUVRAGE : la modélisation des lois géométrique et géométrique décalée est inversée ; corrigé ici</t>
        </is>
      </c>
      <c r="K396" s="11" t="n"/>
      <c r="L396" s="11" t="n"/>
    </row>
    <row r="397">
      <c r="A397" s="12" t="inlineStr">
        <is>
          <t>M396</t>
        </is>
      </c>
      <c r="B397" s="13" t="inlineStr">
        <is>
          <t>Orange – incertain</t>
        </is>
      </c>
      <c r="C397" s="12" t="inlineStr">
        <is>
          <t>BCPST2</t>
        </is>
      </c>
      <c r="D397" s="12" t="inlineStr">
        <is>
          <t>BCPST2 · Probabilités 2 – Variables discrètes</t>
        </is>
      </c>
      <c r="E397" s="12" t="inlineStr">
        <is>
          <t>Propriété</t>
        </is>
      </c>
      <c r="F397" s="13" t="inlineStr">
        <is>
          <t>Loi géométrique décalée sur ℕ</t>
        </is>
      </c>
      <c r="G397" s="12" t="inlineStr">
        <is>
          <t>$P(X=k)=p(1-p)^k$, $k\in\mathbb N$ ; $E(X)=\frac{1-p}p$, $V(X)=\frac{1-p}{p^2}$. $X$ = nombre d'échecs avant le premier succès ($X=Y-1$ avec $Y\sim\mathcal G(p)$).</t>
        </is>
      </c>
      <c r="H397" s="12" t="inlineStr">
        <is>
          <t>Programme muet : notion non mentionnée. (seule la loi géométrique sur N* est citée)</t>
        </is>
      </c>
      <c r="I397" s="12" t="n">
        <v>82</v>
      </c>
      <c r="J397" s="12" t="inlineStr">
        <is>
          <t>ERREUR DANS L'OUVRAGE : modélisation inversée avec la loi géométrique ; corrigé ici</t>
        </is>
      </c>
      <c r="K397" s="14" t="n"/>
      <c r="L397" s="14" t="n"/>
    </row>
    <row r="398">
      <c r="A398" s="9" t="inlineStr">
        <is>
          <t>M397</t>
        </is>
      </c>
      <c r="B398" s="10" t="inlineStr">
        <is>
          <t>Noir – conforme</t>
        </is>
      </c>
      <c r="C398" s="9" t="inlineStr">
        <is>
          <t>BCPST2</t>
        </is>
      </c>
      <c r="D398" s="9" t="inlineStr">
        <is>
          <t>BCPST2 · Probabilités 2 – Variables discrètes</t>
        </is>
      </c>
      <c r="E398" s="9" t="inlineStr">
        <is>
          <t>Théorème</t>
        </is>
      </c>
      <c r="F398" s="10" t="inlineStr">
        <is>
          <t>Linéarité de l'espérance</t>
        </is>
      </c>
      <c r="G398" s="9" t="inlineStr">
        <is>
          <t>Si $X$ et $Y$ ont une espérance : $E(aX+bY)=aE(X)+bE(Y)$.</t>
        </is>
      </c>
      <c r="H398" s="9" t="inlineStr">
        <is>
          <t>« La linéarité de l'espérance est admise. »</t>
        </is>
      </c>
      <c r="I398" s="9" t="n">
        <v>83</v>
      </c>
      <c r="J398" s="9" t="inlineStr"/>
      <c r="K398" s="11" t="n"/>
      <c r="L398" s="11" t="n"/>
    </row>
    <row r="399">
      <c r="A399" s="9" t="inlineStr">
        <is>
          <t>M398</t>
        </is>
      </c>
      <c r="B399" s="10" t="inlineStr">
        <is>
          <t>Noir – conforme</t>
        </is>
      </c>
      <c r="C399" s="9" t="inlineStr">
        <is>
          <t>BCPST2</t>
        </is>
      </c>
      <c r="D399" s="9" t="inlineStr">
        <is>
          <t>BCPST2 · Probabilités 2 – Variables discrètes</t>
        </is>
      </c>
      <c r="E399" s="9" t="inlineStr">
        <is>
          <t>Définition</t>
        </is>
      </c>
      <c r="F399" s="10" t="inlineStr">
        <is>
          <t>Indépendance de deux variables discrètes – Définition</t>
        </is>
      </c>
      <c r="G399" s="9" t="inlineStr">
        <is>
          <t>$X$ et $Y$ indépendantes si $P(X=x,Y=y)=P(X=x)P(Y=y)$ pour tous $x,y$ ; alors $P(X\in I,Y\in J)=P(X\in I)P(Y\in J)$.</t>
        </is>
      </c>
      <c r="H399" s="9" t="inlineStr">
        <is>
          <t>« X et Y sont indépendantes si, et seulement si, P(X = x, Y = y) = P(X = x)P(Y = y). »</t>
        </is>
      </c>
      <c r="I399" s="9" t="n">
        <v>85</v>
      </c>
      <c r="J399" s="9" t="inlineStr"/>
      <c r="K399" s="11" t="n"/>
      <c r="L399" s="11" t="n"/>
    </row>
    <row r="400">
      <c r="A400" s="9" t="inlineStr">
        <is>
          <t>M399</t>
        </is>
      </c>
      <c r="B400" s="10" t="inlineStr">
        <is>
          <t>Noir – conforme</t>
        </is>
      </c>
      <c r="C400" s="9" t="inlineStr">
        <is>
          <t>BCPST2</t>
        </is>
      </c>
      <c r="D400" s="9" t="inlineStr">
        <is>
          <t>BCPST2 · Probabilités 2 – Variables discrètes</t>
        </is>
      </c>
      <c r="E400" s="9" t="inlineStr">
        <is>
          <t>Théorème</t>
        </is>
      </c>
      <c r="F400" s="10" t="inlineStr">
        <is>
          <t>Espérance de la somme de n variables</t>
        </is>
      </c>
      <c r="G400" s="9" t="inlineStr">
        <is>
          <t>$E\left(\sum_{k=1}^nX_k\right)=\sum_{k=1}^nE(X_k)$.</t>
        </is>
      </c>
      <c r="H400" s="9" t="inlineStr">
        <is>
          <t>« linéarité » de l'espérance.</t>
        </is>
      </c>
      <c r="I400" s="9" t="n">
        <v>85</v>
      </c>
      <c r="J400" s="9" t="inlineStr"/>
      <c r="K400" s="11" t="n"/>
      <c r="L400" s="11" t="n"/>
    </row>
    <row r="401">
      <c r="A401" s="12" t="inlineStr">
        <is>
          <t>M400</t>
        </is>
      </c>
      <c r="B401" s="13" t="inlineStr">
        <is>
          <t>Orange – incertain</t>
        </is>
      </c>
      <c r="C401" s="12" t="inlineStr">
        <is>
          <t>BCPST2</t>
        </is>
      </c>
      <c r="D401" s="12" t="inlineStr">
        <is>
          <t>BCPST2 · Probabilités 2 – Variables discrètes</t>
        </is>
      </c>
      <c r="E401" s="12" t="inlineStr">
        <is>
          <t>Définition</t>
        </is>
      </c>
      <c r="F401" s="13" t="inlineStr">
        <is>
          <t>Variables indépendantes deux à deux</t>
        </is>
      </c>
      <c r="G401" s="12" t="inlineStr">
        <is>
          <t>Pour tous $i\neq j$, $X_i$ et $X_j$ sont indépendantes.</t>
        </is>
      </c>
      <c r="H401" s="12" t="inlineStr">
        <is>
          <t>Seule l'indépendance mutuelle est citée ; « deux à deux » n'apparaît pas.</t>
        </is>
      </c>
      <c r="I401" s="12" t="n">
        <v>86</v>
      </c>
      <c r="J401" s="12" t="inlineStr"/>
      <c r="K401" s="14" t="n"/>
      <c r="L401" s="14" t="n"/>
    </row>
    <row r="402">
      <c r="A402" s="9" t="inlineStr">
        <is>
          <t>M401</t>
        </is>
      </c>
      <c r="B402" s="10" t="inlineStr">
        <is>
          <t>Noir – conforme</t>
        </is>
      </c>
      <c r="C402" s="9" t="inlineStr">
        <is>
          <t>BCPST2</t>
        </is>
      </c>
      <c r="D402" s="9" t="inlineStr">
        <is>
          <t>BCPST2 · Probabilités 2 – Variables discrètes</t>
        </is>
      </c>
      <c r="E402" s="9" t="inlineStr">
        <is>
          <t>Définition</t>
        </is>
      </c>
      <c r="F402" s="10" t="inlineStr">
        <is>
          <t>Variables mutuellement indépendantes – Définition</t>
        </is>
      </c>
      <c r="G402" s="9" t="inlineStr">
        <is>
          <t>$P\left(\bigcap_i[X_i=x_i]\right)=\prod_iP(X_i=x_i)$ pour tous $x_i$. Implique l'indépendance deux à deux ; réciproque fausse.</t>
        </is>
      </c>
      <c r="H402" s="9" t="inlineStr">
        <is>
          <t>« Généralisation : indépendance (mutuelle) de n variables aléatoires. »</t>
        </is>
      </c>
      <c r="I402" s="9" t="n">
        <v>86</v>
      </c>
      <c r="J402" s="9" t="inlineStr"/>
      <c r="K402" s="11" t="n"/>
      <c r="L402" s="11" t="n"/>
    </row>
    <row r="403">
      <c r="A403" s="9" t="inlineStr">
        <is>
          <t>M402</t>
        </is>
      </c>
      <c r="B403" s="10" t="inlineStr">
        <is>
          <t>Noir – conforme</t>
        </is>
      </c>
      <c r="C403" s="9" t="inlineStr">
        <is>
          <t>BCPST2</t>
        </is>
      </c>
      <c r="D403" s="9" t="inlineStr">
        <is>
          <t>BCPST2 · Probabilités 2 – Variables discrètes</t>
        </is>
      </c>
      <c r="E403" s="9" t="inlineStr">
        <is>
          <t>Propriété</t>
        </is>
      </c>
      <c r="F403" s="10" t="inlineStr">
        <is>
          <t>Lemme des sous-familles</t>
        </is>
      </c>
      <c r="G403" s="9" t="inlineStr">
        <is>
          <t>Toute sous-famille d'une famille de variables mutuellement indépendantes est mutuellement indépendante.</t>
        </is>
      </c>
      <c r="H403" s="9" t="inlineStr">
        <is>
          <t>« Si X₁, …, Xₙ sont indépendantes, toute sous-famille l'est aussi. »</t>
        </is>
      </c>
      <c r="I403" s="9" t="n">
        <v>86</v>
      </c>
      <c r="J403" s="9" t="inlineStr"/>
      <c r="K403" s="11" t="n"/>
      <c r="L403" s="11" t="n"/>
    </row>
    <row r="404">
      <c r="A404" s="9" t="inlineStr">
        <is>
          <t>M403</t>
        </is>
      </c>
      <c r="B404" s="10" t="inlineStr">
        <is>
          <t>Noir – conforme</t>
        </is>
      </c>
      <c r="C404" s="9" t="inlineStr">
        <is>
          <t>BCPST2</t>
        </is>
      </c>
      <c r="D404" s="9" t="inlineStr">
        <is>
          <t>BCPST2 · Probabilités 2 – Variables discrètes</t>
        </is>
      </c>
      <c r="E404" s="9" t="inlineStr">
        <is>
          <t>Théorème</t>
        </is>
      </c>
      <c r="F404" s="10" t="inlineStr">
        <is>
          <t>Lemme des coalitions</t>
        </is>
      </c>
      <c r="G404" s="9" t="inlineStr">
        <is>
          <t>Si $X_1,\dots,X_p$ sont mutuellement indépendantes, $f(X_1,\dots,X_n)$ et $g(X_{n+1},\dots,X_p)$ sont indépendantes ; $f_1(X_1),\dots,f_p(X_p)$ sont mutuellement indépendantes.</t>
        </is>
      </c>
      <c r="H404" s="9" t="inlineStr">
        <is>
          <t>« Lemme des coalitions … »</t>
        </is>
      </c>
      <c r="I404" s="9" t="n">
        <v>86</v>
      </c>
      <c r="J404" s="9" t="inlineStr"/>
      <c r="K404" s="11" t="n"/>
      <c r="L404" s="11" t="n"/>
    </row>
    <row r="405">
      <c r="A405" s="9" t="inlineStr">
        <is>
          <t>M404</t>
        </is>
      </c>
      <c r="B405" s="10" t="inlineStr">
        <is>
          <t>Noir – conforme</t>
        </is>
      </c>
      <c r="C405" s="9" t="inlineStr">
        <is>
          <t>BCPST2</t>
        </is>
      </c>
      <c r="D405" s="9" t="inlineStr">
        <is>
          <t>BCPST2 · Probabilités 2 – Variables discrètes</t>
        </is>
      </c>
      <c r="E405" s="9" t="inlineStr">
        <is>
          <t>Théorème</t>
        </is>
      </c>
      <c r="F405" s="10" t="inlineStr">
        <is>
          <t>Variance d'une somme de n variables</t>
        </is>
      </c>
      <c r="G405" s="9" t="inlineStr">
        <is>
          <t>$V\left(\sum X_k\right)=\sum V(X_k)+2\sum_{i&lt;j}\mathrm{Cov}(X_i,X_j)$ ; si les $X_i$ sont deux à deux indépendantes : $V\left(\sum X_k\right)=\sum V(X_k)$.</t>
        </is>
      </c>
      <c r="H405" s="9" t="inlineStr">
        <is>
          <t>« Si X et Y sont indépendantes, … variance de X + Y. Généralisation au cas de n variables aléatoires indépendantes. » La formule avec les covariances pour n variables n'est pas citée.</t>
        </is>
      </c>
      <c r="I405" s="9" t="n">
        <v>87</v>
      </c>
      <c r="J405" s="9" t="inlineStr"/>
      <c r="K405" s="11" t="n"/>
      <c r="L405" s="11" t="n"/>
    </row>
    <row r="406">
      <c r="A406" s="9" t="inlineStr">
        <is>
          <t>M405</t>
        </is>
      </c>
      <c r="B406" s="10" t="inlineStr">
        <is>
          <t>Noir – conforme</t>
        </is>
      </c>
      <c r="C406" s="9" t="inlineStr">
        <is>
          <t>BCPST2</t>
        </is>
      </c>
      <c r="D406" s="9" t="inlineStr">
        <is>
          <t>BCPST2 · Probabilités 2 – Variables discrètes</t>
        </is>
      </c>
      <c r="E406" s="9" t="inlineStr">
        <is>
          <t>Définition</t>
        </is>
      </c>
      <c r="F406" s="10" t="inlineStr">
        <is>
          <t>Variable centrée, réduite, centrée réduite</t>
        </is>
      </c>
      <c r="G406" s="9" t="inlineStr">
        <is>
          <t>Centrée : $E(X)=0$ ; réduite : $V(X)=1$ ; variable centrée réduite associée à $X$ : $X^*=\dfrac{X-E(X)}{\sigma(X)}$.</t>
        </is>
      </c>
      <c r="H406" s="9" t="inlineStr">
        <is>
          <t>« Notion de variable centrée réduite … X* = (X − E(X))/σ(X). »</t>
        </is>
      </c>
      <c r="I406" s="9" t="n">
        <v>97</v>
      </c>
      <c r="J406" s="9" t="inlineStr"/>
      <c r="K406" s="11" t="n"/>
      <c r="L406" s="11" t="n"/>
    </row>
    <row r="407">
      <c r="A407" s="9" t="inlineStr">
        <is>
          <t>M406</t>
        </is>
      </c>
      <c r="B407" s="10" t="inlineStr">
        <is>
          <t>Noir – conforme</t>
        </is>
      </c>
      <c r="C407" s="9" t="inlineStr">
        <is>
          <t>BCPST2</t>
        </is>
      </c>
      <c r="D407" s="9" t="inlineStr">
        <is>
          <t>BCPST2 · Probabilités 3 – Couples discrets</t>
        </is>
      </c>
      <c r="E407" s="9" t="inlineStr">
        <is>
          <t>Définition</t>
        </is>
      </c>
      <c r="F407" s="10" t="inlineStr">
        <is>
          <t>Couple de variables aléatoires discrètes</t>
        </is>
      </c>
      <c r="G407" s="9" t="inlineStr">
        <is>
          <t>$Z=(X,Y):\Omega\to\mathbb R^2$ avec $X,Y$ variables discrètes ; $Z(\Omega)\subset X(\Omega)\times Y(\Omega)$.</t>
        </is>
      </c>
      <c r="H407" s="9" t="inlineStr">
        <is>
          <t>« Couple (X, Y) de deux variables aléatoires discrètes. »</t>
        </is>
      </c>
      <c r="I407" s="9" t="n">
        <v>82</v>
      </c>
      <c r="J407" s="9" t="inlineStr">
        <is>
          <t>L'ouvrage écrit $Z(\Omega)=X(\Omega)\times Y(\Omega)$ : en général c'est seulement une inclusion</t>
        </is>
      </c>
      <c r="K407" s="11" t="n"/>
      <c r="L407" s="11" t="n"/>
    </row>
    <row r="408">
      <c r="A408" s="9" t="inlineStr">
        <is>
          <t>M407</t>
        </is>
      </c>
      <c r="B408" s="10" t="inlineStr">
        <is>
          <t>Noir – conforme</t>
        </is>
      </c>
      <c r="C408" s="9" t="inlineStr">
        <is>
          <t>BCPST2</t>
        </is>
      </c>
      <c r="D408" s="9" t="inlineStr">
        <is>
          <t>BCPST2 · Probabilités 3 – Couples discrets</t>
        </is>
      </c>
      <c r="E408" s="9" t="inlineStr">
        <is>
          <t>Définition</t>
        </is>
      </c>
      <c r="F408" s="10" t="inlineStr">
        <is>
          <t>Loi conjointe et lois marginales – Définition</t>
        </is>
      </c>
      <c r="G408" s="9" t="inlineStr">
        <is>
          <t>Loi conjointe : $(x,y)\mapsto P([X=x]\cap[Y=y])$ ; lois marginales : lois de $X$ et de $Y$.</t>
        </is>
      </c>
      <c r="H408" s="9" t="inlineStr">
        <is>
          <t>« Loi conjointe. Lois marginales. »</t>
        </is>
      </c>
      <c r="I408" s="9" t="n">
        <v>82</v>
      </c>
      <c r="J408" s="9" t="inlineStr"/>
      <c r="K408" s="11" t="n"/>
      <c r="L408" s="11" t="n"/>
    </row>
    <row r="409">
      <c r="A409" s="9" t="inlineStr">
        <is>
          <t>M408</t>
        </is>
      </c>
      <c r="B409" s="10" t="inlineStr">
        <is>
          <t>Noir – conforme</t>
        </is>
      </c>
      <c r="C409" s="9" t="inlineStr">
        <is>
          <t>BCPST2</t>
        </is>
      </c>
      <c r="D409" s="9" t="inlineStr">
        <is>
          <t>BCPST2 · Probabilités 3 – Couples discrets</t>
        </is>
      </c>
      <c r="E409" s="9" t="inlineStr">
        <is>
          <t>Théorème</t>
        </is>
      </c>
      <c r="F409" s="10" t="inlineStr">
        <is>
          <t>Lois marginales à partir de la loi conjointe</t>
        </is>
      </c>
      <c r="G409" s="9" t="inlineStr">
        <is>
          <t>$P(X=x)=\sum_{y}P(X=x,Y=y)$ et $P(Y=y)=\sum_xP(X=x,Y=y)$.</t>
        </is>
      </c>
      <c r="H409" s="9" t="inlineStr">
        <is>
          <t>« Lois marginales. »</t>
        </is>
      </c>
      <c r="I409" s="9" t="n">
        <v>82</v>
      </c>
      <c r="J409" s="9" t="inlineStr"/>
      <c r="K409" s="11" t="n"/>
      <c r="L409" s="11" t="n"/>
    </row>
    <row r="410">
      <c r="A410" s="9" t="inlineStr">
        <is>
          <t>M409</t>
        </is>
      </c>
      <c r="B410" s="10" t="inlineStr">
        <is>
          <t>Noir – conforme</t>
        </is>
      </c>
      <c r="C410" s="9" t="inlineStr">
        <is>
          <t>BCPST2</t>
        </is>
      </c>
      <c r="D410" s="9" t="inlineStr">
        <is>
          <t>BCPST2 · Probabilités 3 – Couples discrets</t>
        </is>
      </c>
      <c r="E410" s="9" t="inlineStr">
        <is>
          <t>Définition</t>
        </is>
      </c>
      <c r="F410" s="10" t="inlineStr">
        <is>
          <t>Lois conditionnelles d'un couple</t>
        </is>
      </c>
      <c r="G410" s="9" t="inlineStr">
        <is>
          <t>Loi de $X$ sachant $[Y=y]$ (pour $P(Y=y)\neq0$) : $x\mapsto P(X=x\,|\,Y=y)$ ; de même pour $Y$ sachant $[X=x]$.</t>
        </is>
      </c>
      <c r="H410" s="9" t="inlineStr">
        <is>
          <t>« Lois conditionnelles. L'espérance conditionnelle n'est pas un attendu. »</t>
        </is>
      </c>
      <c r="I410" s="9" t="n">
        <v>83</v>
      </c>
      <c r="J410" s="9" t="inlineStr"/>
      <c r="K410" s="11" t="n"/>
      <c r="L410" s="11" t="n"/>
    </row>
    <row r="411">
      <c r="A411" s="9" t="inlineStr">
        <is>
          <t>M410</t>
        </is>
      </c>
      <c r="B411" s="10" t="inlineStr">
        <is>
          <t>Noir – conforme</t>
        </is>
      </c>
      <c r="C411" s="9" t="inlineStr">
        <is>
          <t>BCPST2</t>
        </is>
      </c>
      <c r="D411" s="9" t="inlineStr">
        <is>
          <t>BCPST2 · Probabilités 3 – Couples discrets</t>
        </is>
      </c>
      <c r="E411" s="9" t="inlineStr">
        <is>
          <t>Propriété</t>
        </is>
      </c>
      <c r="F411" s="10" t="inlineStr">
        <is>
          <t>Loi d'une somme de deux variables discrètes</t>
        </is>
      </c>
      <c r="G411" s="9" t="inlineStr">
        <is>
          <t>Si $X,Y$ sont à valeurs dans $\mathbb N$ et $S=X+Y$ : $P(S=n)=\sum_{k=0}^nP(X=k,\ Y=n-k)$.</t>
        </is>
      </c>
      <c r="H411" s="9" t="inlineStr">
        <is>
          <t>« Cas particulier de la somme de deux variables discrètes à valeurs dans N. Les deux variables ne sont pas nécessairement indépendantes. »</t>
        </is>
      </c>
      <c r="I411" s="9" t="n">
        <v>83</v>
      </c>
      <c r="J411" s="9" t="inlineStr"/>
      <c r="K411" s="11" t="n"/>
      <c r="L411" s="11" t="n"/>
    </row>
    <row r="412">
      <c r="A412" s="9" t="inlineStr">
        <is>
          <t>M411</t>
        </is>
      </c>
      <c r="B412" s="10" t="inlineStr">
        <is>
          <t>Noir – conforme</t>
        </is>
      </c>
      <c r="C412" s="9" t="inlineStr">
        <is>
          <t>BCPST2</t>
        </is>
      </c>
      <c r="D412" s="9" t="inlineStr">
        <is>
          <t>BCPST2 · Probabilités 3 – Couples discrets</t>
        </is>
      </c>
      <c r="E412" s="9" t="inlineStr">
        <is>
          <t>Théorème</t>
        </is>
      </c>
      <c r="F412" s="10" t="inlineStr">
        <is>
          <t>Théorème de transfert pour un couple</t>
        </is>
      </c>
      <c r="G412" s="9" t="inlineStr">
        <is>
          <t>$E(u(X,Y))=\sum_x\sum_yu(x,y)P(X=x,Y=y)$, sous réserve de convergence absolue.</t>
        </is>
      </c>
      <c r="H412" s="9" t="inlineStr">
        <is>
          <t>« Théorème de transfert : espérance de u(X, Y) … quand X et Y sont des variables aléatoires discrètes finies. » Le cas infini (séries doubles) n'est pas au programme.</t>
        </is>
      </c>
      <c r="I412" s="9" t="n">
        <v>83</v>
      </c>
      <c r="J412" s="9" t="inlineStr"/>
      <c r="K412" s="11" t="n"/>
      <c r="L412" s="11" t="n"/>
    </row>
    <row r="413">
      <c r="A413" s="9" t="inlineStr">
        <is>
          <t>M412</t>
        </is>
      </c>
      <c r="B413" s="10" t="inlineStr">
        <is>
          <t>Noir – conforme</t>
        </is>
      </c>
      <c r="C413" s="9" t="inlineStr">
        <is>
          <t>BCPST2</t>
        </is>
      </c>
      <c r="D413" s="9" t="inlineStr">
        <is>
          <t>BCPST2 · Probabilités 3 – Couples discrets</t>
        </is>
      </c>
      <c r="E413" s="9" t="inlineStr">
        <is>
          <t>Définition</t>
        </is>
      </c>
      <c r="F413" s="10" t="inlineStr">
        <is>
          <t>Covariance – Définition</t>
        </is>
      </c>
      <c r="G413" s="9" t="inlineStr">
        <is>
          <t>Si $X$ et $Y$ ont un moment d'ordre 2 : $\mathrm{Cov}(X,Y)=E(XY)-E(X)E(Y)$.</t>
        </is>
      </c>
      <c r="H413" s="9" t="inlineStr">
        <is>
          <t>« Covariance, formule de König-Huygens Cov(X,Y) = E(XY) − E(X)E(Y). »</t>
        </is>
      </c>
      <c r="I413" s="9" t="n">
        <v>84</v>
      </c>
      <c r="J413" s="9" t="inlineStr">
        <is>
          <t>Titre du cadre partiellement coupé (« Covariance de deux V.A.R.D. – Définition »)</t>
        </is>
      </c>
      <c r="K413" s="11" t="n"/>
      <c r="L413" s="11" t="n"/>
    </row>
    <row r="414">
      <c r="A414" s="9" t="inlineStr">
        <is>
          <t>M413</t>
        </is>
      </c>
      <c r="B414" s="10" t="inlineStr">
        <is>
          <t>Noir – conforme</t>
        </is>
      </c>
      <c r="C414" s="9" t="inlineStr">
        <is>
          <t>BCPST2</t>
        </is>
      </c>
      <c r="D414" s="9" t="inlineStr">
        <is>
          <t>BCPST2 · Probabilités 3 – Couples discrets</t>
        </is>
      </c>
      <c r="E414" s="9" t="inlineStr">
        <is>
          <t>Propriété</t>
        </is>
      </c>
      <c r="F414" s="10" t="inlineStr">
        <is>
          <t>Covariance – Propriétés</t>
        </is>
      </c>
      <c r="G414" s="9" t="inlineStr">
        <is>
          <t>$\mathrm{Cov}(X,Y)=E[(X-E(X))(Y-E(Y))]$ ; symétrie ; linéarité à gauche ; $\mathrm{Cov}(X,X)=V(X)$ ; $V(aX+bY)=a^2V(X)+b^2V(Y)+2ab\,\mathrm{Cov}(X,Y)$.</t>
        </is>
      </c>
      <c r="H414" s="9" t="inlineStr">
        <is>
          <t>« Covariance … Variance de X + Y. »</t>
        </is>
      </c>
      <c r="I414" s="9" t="n">
        <v>84</v>
      </c>
      <c r="J414" s="9" t="inlineStr">
        <is>
          <t>Titre de l'ouvrage : « Covariance – Définition » (deuxième cadre, contenu = propriétés)</t>
        </is>
      </c>
      <c r="K414" s="11" t="n"/>
      <c r="L414" s="11" t="n"/>
    </row>
    <row r="415">
      <c r="A415" s="12" t="inlineStr">
        <is>
          <t>M414</t>
        </is>
      </c>
      <c r="B415" s="13" t="inlineStr">
        <is>
          <t>Orange – incertain</t>
        </is>
      </c>
      <c r="C415" s="12" t="inlineStr">
        <is>
          <t>BCPST2</t>
        </is>
      </c>
      <c r="D415" s="12" t="inlineStr">
        <is>
          <t>BCPST2 · Probabilités 3 – Couples discrets</t>
        </is>
      </c>
      <c r="E415" s="12" t="inlineStr">
        <is>
          <t>Définition</t>
        </is>
      </c>
      <c r="F415" s="13" t="inlineStr">
        <is>
          <t>Coefficient de corrélation linéaire – Définition</t>
        </is>
      </c>
      <c r="G415" s="12" t="inlineStr">
        <is>
          <t>$\rho(X,Y)=\dfrac{\mathrm{Cov}(X,Y)}{\sigma(X)\sigma(Y)}$ (variances non nulles).</t>
        </is>
      </c>
      <c r="H415" s="12" t="inlineStr">
        <is>
          <t>Le coefficient de corrélation de deux variables aléatoires n'est pas cité (seul r_xy en statistique descriptive, BCPST1 Statistique 1).</t>
        </is>
      </c>
      <c r="I415" s="12" t="n">
        <v>84</v>
      </c>
      <c r="J415" s="12" t="inlineStr"/>
      <c r="K415" s="14" t="n"/>
      <c r="L415" s="14" t="n"/>
    </row>
    <row r="416">
      <c r="A416" s="12" t="inlineStr">
        <is>
          <t>M415</t>
        </is>
      </c>
      <c r="B416" s="13" t="inlineStr">
        <is>
          <t>Orange – incertain</t>
        </is>
      </c>
      <c r="C416" s="12" t="inlineStr">
        <is>
          <t>BCPST2</t>
        </is>
      </c>
      <c r="D416" s="12" t="inlineStr">
        <is>
          <t>BCPST2 · Probabilités 3 – Couples discrets</t>
        </is>
      </c>
      <c r="E416" s="12" t="inlineStr">
        <is>
          <t>Théorème</t>
        </is>
      </c>
      <c r="F416" s="13" t="inlineStr">
        <is>
          <t>Coefficient de corrélation linéaire – Théorème</t>
        </is>
      </c>
      <c r="G416" s="12" t="inlineStr">
        <is>
          <t>$|\rho(X,Y)|\le1$, avec égalité ssi il existe $a,b$ tels que $P(Y=aX+b)=1$.</t>
        </is>
      </c>
      <c r="H416" s="12" t="inlineStr">
        <is>
          <t>Programme muet : notion non mentionnée.</t>
        </is>
      </c>
      <c r="I416" s="12" t="n">
        <v>84</v>
      </c>
      <c r="J416" s="12" t="inlineStr"/>
      <c r="K416" s="14" t="n"/>
      <c r="L416" s="14" t="n"/>
    </row>
    <row r="417">
      <c r="A417" s="9" t="inlineStr">
        <is>
          <t>M416</t>
        </is>
      </c>
      <c r="B417" s="10" t="inlineStr">
        <is>
          <t>Noir – conforme</t>
        </is>
      </c>
      <c r="C417" s="9" t="inlineStr">
        <is>
          <t>BCPST2</t>
        </is>
      </c>
      <c r="D417" s="9" t="inlineStr">
        <is>
          <t>BCPST2 · Probabilités 3 – Couples discrets</t>
        </is>
      </c>
      <c r="E417" s="9" t="inlineStr">
        <is>
          <t>Théorème</t>
        </is>
      </c>
      <c r="F417" s="10" t="inlineStr">
        <is>
          <t>Indépendance et covariance</t>
        </is>
      </c>
      <c r="G417" s="9" t="inlineStr">
        <is>
          <t>Si $X,Y$ sont indépendantes : $E(XY)=E(X)E(Y)$, $\mathrm{Cov}(X,Y)=0$, $V(X+Y)=V(X)+V(Y)$. Réciproque fausse.</t>
        </is>
      </c>
      <c r="H417" s="9" t="inlineStr">
        <is>
          <t>« On remarquera qu'en cas d'indépendance Cov(X, Y) = 0, mais que la réciproque est fausse. »</t>
        </is>
      </c>
      <c r="I417" s="9" t="n">
        <v>85</v>
      </c>
      <c r="J417" s="9" t="inlineStr"/>
      <c r="K417" s="11" t="n"/>
      <c r="L417" s="11" t="n"/>
    </row>
    <row r="418">
      <c r="A418" s="9" t="inlineStr">
        <is>
          <t>M417</t>
        </is>
      </c>
      <c r="B418" s="10" t="inlineStr">
        <is>
          <t>Noir – conforme</t>
        </is>
      </c>
      <c r="C418" s="9" t="inlineStr">
        <is>
          <t>BCPST2</t>
        </is>
      </c>
      <c r="D418" s="9" t="inlineStr">
        <is>
          <t>BCPST2 · Probabilités 3 – Couples discrets</t>
        </is>
      </c>
      <c r="E418" s="9" t="inlineStr">
        <is>
          <t>Propriété</t>
        </is>
      </c>
      <c r="F418" s="10" t="inlineStr">
        <is>
          <t>Stabilité de la loi de Poisson</t>
        </is>
      </c>
      <c r="G418" s="9" t="inlineStr">
        <is>
          <t>$X\sim\mathcal P(\lambda)$, $Y\sim\mathcal P(\mu)$ indépendantes $\Rightarrow X+Y\sim\mathcal P(\lambda+\mu)$.</t>
        </is>
      </c>
      <c r="H418" s="9" t="inlineStr">
        <is>
          <t>« Loi de la somme de deux variables indépendantes suivant des lois de Poisson. »</t>
        </is>
      </c>
      <c r="I418" s="9" t="n">
        <v>85</v>
      </c>
      <c r="J418" s="9" t="inlineStr"/>
      <c r="K418" s="11" t="n"/>
      <c r="L418" s="11" t="n"/>
    </row>
    <row r="419">
      <c r="A419" s="9" t="inlineStr">
        <is>
          <t>M418</t>
        </is>
      </c>
      <c r="B419" s="10" t="inlineStr">
        <is>
          <t>Noir – conforme</t>
        </is>
      </c>
      <c r="C419" s="9" t="inlineStr">
        <is>
          <t>BCPST2</t>
        </is>
      </c>
      <c r="D419" s="9" t="inlineStr">
        <is>
          <t>BCPST2 · Probabilités 4 – Variables à densité</t>
        </is>
      </c>
      <c r="E419" s="9" t="inlineStr">
        <is>
          <t>Définition</t>
        </is>
      </c>
      <c r="F419" s="10" t="inlineStr">
        <is>
          <t>Densité de probabilité – Définition</t>
        </is>
      </c>
      <c r="G419" s="9" t="inlineStr">
        <is>
          <t>$f\ge0$, continue sauf en un nombre fini de points, avec $\int_{-\infty}^{+\infty}f=1$.</t>
        </is>
      </c>
      <c r="H419" s="9" t="inlineStr">
        <is>
          <t>« On appelle densité de probabilité une fonction f définie sur R, positive, dont l'intégrale généralisée sur R converge et vaut 1. »</t>
        </is>
      </c>
      <c r="I419" s="9" t="n">
        <v>87</v>
      </c>
      <c r="J419" s="9" t="inlineStr"/>
      <c r="K419" s="11" t="n"/>
      <c r="L419" s="11" t="n"/>
    </row>
    <row r="420">
      <c r="A420" s="9" t="inlineStr">
        <is>
          <t>M419</t>
        </is>
      </c>
      <c r="B420" s="10" t="inlineStr">
        <is>
          <t>Noir – conforme</t>
        </is>
      </c>
      <c r="C420" s="9" t="inlineStr">
        <is>
          <t>BCPST2</t>
        </is>
      </c>
      <c r="D420" s="9" t="inlineStr">
        <is>
          <t>BCPST2 · Probabilités 4 – Variables à densité</t>
        </is>
      </c>
      <c r="E420" s="9" t="inlineStr">
        <is>
          <t>Définition</t>
        </is>
      </c>
      <c r="F420" s="10" t="inlineStr">
        <is>
          <t>Variable aléatoire à densité – Définition</t>
        </is>
      </c>
      <c r="G420" s="9" t="inlineStr">
        <is>
          <t>$X$ admet la densité $f$ si $P(X\in I)=\int_If$ pour tout intervalle $I$.</t>
        </is>
      </c>
      <c r="H420" s="9" t="inlineStr">
        <is>
          <t>« X est à densité s'il existe une densité f telle que F_X(x) = ∫_{−∞}^x f. »</t>
        </is>
      </c>
      <c r="I420" s="9" t="n">
        <v>87</v>
      </c>
      <c r="J420" s="9" t="inlineStr"/>
      <c r="K420" s="11" t="n"/>
      <c r="L420" s="11" t="n"/>
    </row>
    <row r="421">
      <c r="A421" s="9" t="inlineStr">
        <is>
          <t>M420</t>
        </is>
      </c>
      <c r="B421" s="10" t="inlineStr">
        <is>
          <t>Noir – conforme</t>
        </is>
      </c>
      <c r="C421" s="9" t="inlineStr">
        <is>
          <t>BCPST2</t>
        </is>
      </c>
      <c r="D421" s="9" t="inlineStr">
        <is>
          <t>BCPST2 · Probabilités 4 – Variables à densité</t>
        </is>
      </c>
      <c r="E421" s="9" t="inlineStr">
        <is>
          <t>Théorème</t>
        </is>
      </c>
      <c r="F421" s="10" t="inlineStr">
        <is>
          <t>Lien entre densité et fonction de répartition</t>
        </is>
      </c>
      <c r="G421" s="9" t="inlineStr">
        <is>
          <t>$X$ admet $f$ pour densité $\iff F_X(t)=\int_{-\infty}^tf$ $\iff F_X$ continue sur $\mathbb R$, $\mathcal C^1$ sauf en un nombre fini de points où ailleurs $F_X'=f$.</t>
        </is>
      </c>
      <c r="H421" s="9" t="inlineStr">
        <is>
          <t>« X admet une densité si, et seulement si, sa fonction de répartition F_X est continue sur R et de classe C¹ sauf éventuellement en un nombre fini de points. »</t>
        </is>
      </c>
      <c r="I421" s="9" t="n">
        <v>87</v>
      </c>
      <c r="J421" s="9" t="inlineStr"/>
      <c r="K421" s="11" t="n"/>
      <c r="L421" s="11" t="n"/>
    </row>
    <row r="422">
      <c r="A422" s="9" t="inlineStr">
        <is>
          <t>M421</t>
        </is>
      </c>
      <c r="B422" s="10" t="inlineStr">
        <is>
          <t>Noir – conforme</t>
        </is>
      </c>
      <c r="C422" s="9" t="inlineStr">
        <is>
          <t>BCPST2</t>
        </is>
      </c>
      <c r="D422" s="9" t="inlineStr">
        <is>
          <t>BCPST2 · Probabilités 4 – Variables à densité</t>
        </is>
      </c>
      <c r="E422" s="9" t="inlineStr">
        <is>
          <t>Définition</t>
        </is>
      </c>
      <c r="F422" s="10" t="inlineStr">
        <is>
          <t>Espérance d'une variable à densité</t>
        </is>
      </c>
      <c r="G422" s="9" t="inlineStr">
        <is>
          <t>$E(X)=\int_{-\infty}^{+\infty}xf(x)\,dx$, si l'intégrale converge absolument.</t>
        </is>
      </c>
      <c r="H422" s="9" t="inlineStr">
        <is>
          <t>« Espérance. Propriétés. »</t>
        </is>
      </c>
      <c r="I422" s="9" t="n">
        <v>88</v>
      </c>
      <c r="J422" s="9" t="inlineStr"/>
      <c r="K422" s="11" t="n"/>
      <c r="L422" s="11" t="n"/>
    </row>
    <row r="423">
      <c r="A423" s="9" t="inlineStr">
        <is>
          <t>M422</t>
        </is>
      </c>
      <c r="B423" s="10" t="inlineStr">
        <is>
          <t>Noir – conforme</t>
        </is>
      </c>
      <c r="C423" s="9" t="inlineStr">
        <is>
          <t>BCPST2</t>
        </is>
      </c>
      <c r="D423" s="9" t="inlineStr">
        <is>
          <t>BCPST2 · Probabilités 4 – Variables à densité</t>
        </is>
      </c>
      <c r="E423" s="9" t="inlineStr">
        <is>
          <t>Théorème</t>
        </is>
      </c>
      <c r="F423" s="10" t="inlineStr">
        <is>
          <t>Théorème de transfert (densité)</t>
        </is>
      </c>
      <c r="G423" s="9" t="inlineStr">
        <is>
          <t>$E(u(X))=\int_{-\infty}^{+\infty}u(x)f(x)\,dx$, sous réserve de convergence absolue.</t>
        </is>
      </c>
      <c r="H423" s="9" t="inlineStr">
        <is>
          <t>« Théorème de transfert … E(u(X)) = ∫ u(x)f(x) dx. Résultat admis. »</t>
        </is>
      </c>
      <c r="I423" s="9" t="n">
        <v>88</v>
      </c>
      <c r="J423" s="9" t="inlineStr"/>
      <c r="K423" s="11" t="n"/>
      <c r="L423" s="11" t="n"/>
    </row>
    <row r="424">
      <c r="A424" s="9" t="inlineStr">
        <is>
          <t>M423</t>
        </is>
      </c>
      <c r="B424" s="10" t="inlineStr">
        <is>
          <t>Noir – conforme</t>
        </is>
      </c>
      <c r="C424" s="9" t="inlineStr">
        <is>
          <t>BCPST2</t>
        </is>
      </c>
      <c r="D424" s="9" t="inlineStr">
        <is>
          <t>BCPST2 · Probabilités 4 – Variables à densité</t>
        </is>
      </c>
      <c r="E424" s="9" t="inlineStr">
        <is>
          <t>Définition</t>
        </is>
      </c>
      <c r="F424" s="10" t="inlineStr">
        <is>
          <t>Moments d'une variable à densité</t>
        </is>
      </c>
      <c r="G424" s="9" t="inlineStr">
        <is>
          <t>$E(X^\alpha)=\int x^\alpha f(x)\,dx$ (s'il existe) ; un moment d'ordre $\alpha$ entraîne l'existence des moments d'ordre $\beta\le\alpha$.</t>
        </is>
      </c>
      <c r="H424" s="9" t="inlineStr">
        <is>
          <t>« Variance et moments. » (l'existence des moments d'ordre inférieur n'est pas citée)</t>
        </is>
      </c>
      <c r="I424" s="9" t="n">
        <v>88</v>
      </c>
      <c r="J424" s="9" t="inlineStr">
        <is>
          <t>Deux cadres de l'ouvrage regroupés</t>
        </is>
      </c>
      <c r="K424" s="11" t="n"/>
      <c r="L424" s="11" t="n"/>
    </row>
    <row r="425">
      <c r="A425" s="9" t="inlineStr">
        <is>
          <t>M424</t>
        </is>
      </c>
      <c r="B425" s="10" t="inlineStr">
        <is>
          <t>Noir – conforme</t>
        </is>
      </c>
      <c r="C425" s="9" t="inlineStr">
        <is>
          <t>BCPST2</t>
        </is>
      </c>
      <c r="D425" s="9" t="inlineStr">
        <is>
          <t>BCPST2 · Probabilités 4 – Variables à densité</t>
        </is>
      </c>
      <c r="E425" s="9" t="inlineStr">
        <is>
          <t>Définition</t>
        </is>
      </c>
      <c r="F425" s="10" t="inlineStr">
        <is>
          <t>Variance et écart-type (densité)</t>
        </is>
      </c>
      <c r="G425" s="9" t="inlineStr">
        <is>
          <t>$V(X)=E[(X-E(X))^2]$, $\sigma(X)=\sqrt{V(X)}$ ; König-Huygens : $V(X)=E(X^2)-E(X)^2$ ; $E(aX+b)=aE(X)+b$, $V(aX+b)=a^2V(X)$.</t>
        </is>
      </c>
      <c r="H425" s="9" t="inlineStr">
        <is>
          <t>« Écart-type … Formule de König-Huygens … Variance de aX + b. »</t>
        </is>
      </c>
      <c r="I425" s="9" t="n">
        <v>88</v>
      </c>
      <c r="J425" s="9" t="inlineStr">
        <is>
          <t>Regroupe 3 cadres (p. 88-89), dont un doublon dans l'ouvrage</t>
        </is>
      </c>
      <c r="K425" s="11" t="n"/>
      <c r="L425" s="11" t="n"/>
    </row>
    <row r="426">
      <c r="A426" s="9" t="inlineStr">
        <is>
          <t>M425</t>
        </is>
      </c>
      <c r="B426" s="10" t="inlineStr">
        <is>
          <t>Noir – conforme</t>
        </is>
      </c>
      <c r="C426" s="9" t="inlineStr">
        <is>
          <t>BCPST2</t>
        </is>
      </c>
      <c r="D426" s="9" t="inlineStr">
        <is>
          <t>BCPST2 · Probabilités 4 – Variables à densité</t>
        </is>
      </c>
      <c r="E426" s="9" t="inlineStr">
        <is>
          <t>Propriété</t>
        </is>
      </c>
      <c r="F426" s="10" t="inlineStr">
        <is>
          <t>Loi uniforme sur [a,b]</t>
        </is>
      </c>
      <c r="G426" s="9" t="inlineStr">
        <is>
          <t>Densité $\frac1{b-a}$ sur $[a,b]$ ; $F_X(t)=\frac{t-a}{b-a}$ sur $[a,b]$ ; $E(X)=\frac{a+b}2$, $V(X)=\frac{(b-a)^2}{12}$.</t>
        </is>
      </c>
      <c r="H426" s="9" t="inlineStr">
        <is>
          <t>« Loi uniforme : densité, fonction de répartition, espérance, variance. »</t>
        </is>
      </c>
      <c r="I426" s="9" t="n">
        <v>89</v>
      </c>
      <c r="J426" s="9" t="inlineStr"/>
      <c r="K426" s="11" t="n"/>
      <c r="L426" s="11" t="n"/>
    </row>
    <row r="427">
      <c r="A427" s="9" t="inlineStr">
        <is>
          <t>M426</t>
        </is>
      </c>
      <c r="B427" s="10" t="inlineStr">
        <is>
          <t>Noir – conforme</t>
        </is>
      </c>
      <c r="C427" s="9" t="inlineStr">
        <is>
          <t>BCPST2</t>
        </is>
      </c>
      <c r="D427" s="9" t="inlineStr">
        <is>
          <t>BCPST2 · Probabilités 4 – Variables à densité</t>
        </is>
      </c>
      <c r="E427" s="9" t="inlineStr">
        <is>
          <t>Propriété</t>
        </is>
      </c>
      <c r="F427" s="10" t="inlineStr">
        <is>
          <t>Loi exponentielle</t>
        </is>
      </c>
      <c r="G427" s="9" t="inlineStr">
        <is>
          <t>$X\sim\mathcal E(\lambda)$ : densité $\lambda e^{-\lambda x}$ sur $\mathbb R_+$ ; $F_X(t)=1-e^{-\lambda t}$ pour $t\ge0$ ; $E(X)=\frac1\lambda$, $V(X)=\frac1{\lambda^2}$.</t>
        </is>
      </c>
      <c r="H427" s="9" t="inlineStr">
        <is>
          <t>« Loi exponentielle : densité, fonction de répartition, espérance, variance. Propriété … d'absence de mémoire. »</t>
        </is>
      </c>
      <c r="I427" s="9" t="n">
        <v>90</v>
      </c>
      <c r="J427" s="9" t="inlineStr">
        <is>
          <t>ERREUR DANS L'OUVRAGE : il écrit $F_X(t)=-e^{-\lambda t}$ ; correct : $1-e^{-\lambda t}$</t>
        </is>
      </c>
      <c r="K427" s="11" t="n"/>
      <c r="L427" s="11" t="n"/>
    </row>
    <row r="428">
      <c r="A428" s="9" t="inlineStr">
        <is>
          <t>M427</t>
        </is>
      </c>
      <c r="B428" s="10" t="inlineStr">
        <is>
          <t>Noir – conforme</t>
        </is>
      </c>
      <c r="C428" s="9" t="inlineStr">
        <is>
          <t>BCPST2</t>
        </is>
      </c>
      <c r="D428" s="9" t="inlineStr">
        <is>
          <t>BCPST2 · Probabilités 4 – Variables à densité</t>
        </is>
      </c>
      <c r="E428" s="9" t="inlineStr">
        <is>
          <t>Propriété</t>
        </is>
      </c>
      <c r="F428" s="10" t="inlineStr">
        <is>
          <t>Loi normale (gaussienne)</t>
        </is>
      </c>
      <c r="G428" s="9" t="inlineStr">
        <is>
          <t>$X\sim\mathcal N(m,\sigma^2)$ : densité $\frac1{\sigma\sqrt{2\pi}}e^{-\frac{(x-m)^2}{2\sigma^2}}$ ; $E(X)=m$, $V(X)=\sigma^2$.</t>
        </is>
      </c>
      <c r="H428" s="9" t="inlineStr">
        <is>
          <t>« Loi normale de paramètres μ et σ² : densité, espérance et variance. Si X suit une loi normale, alors aX + b aussi. »</t>
        </is>
      </c>
      <c r="I428" s="9" t="n">
        <v>90</v>
      </c>
      <c r="J428" s="9" t="inlineStr">
        <is>
          <t>Titre de l'ouvrage : « Loi discrète usuelle 3 » (coquille : c'est une loi à densité). Notation $\mathcal N(m,\sigma)$ dans l'ouvrage, $\mathcal N(\mu,\sigma^2)$ usuelle</t>
        </is>
      </c>
      <c r="K428" s="11" t="n"/>
      <c r="L428" s="11" t="n"/>
    </row>
    <row r="429">
      <c r="A429" s="12" t="inlineStr">
        <is>
          <t>M428</t>
        </is>
      </c>
      <c r="B429" s="13" t="inlineStr">
        <is>
          <t>Orange – incertain</t>
        </is>
      </c>
      <c r="C429" s="12" t="inlineStr">
        <is>
          <t>BCPST2</t>
        </is>
      </c>
      <c r="D429" s="12" t="inlineStr">
        <is>
          <t>BCPST2 · Probabilités 4 – Variables à densité</t>
        </is>
      </c>
      <c r="E429" s="12" t="inlineStr">
        <is>
          <t>Définition</t>
        </is>
      </c>
      <c r="F429" s="13" t="inlineStr">
        <is>
          <t>Densité de probabilité sur ℝ² – Définition</t>
        </is>
      </c>
      <c r="G429" s="12" t="inlineStr">
        <is>
          <t>$f\ge0$ sur $\mathbb R^2$, continue sauf en un nombre fini de points, $\iint_{\mathbb R^2}f=1$.</t>
        </is>
      </c>
      <c r="H429" s="12" t="inlineStr">
        <is>
          <t>Les couples à densité ne sont pas au programme (seuls les couples discrets le sont, Probabilités 3) ; non explicitement exclus.</t>
        </is>
      </c>
      <c r="I429" s="12" t="n">
        <v>90</v>
      </c>
      <c r="J429" s="12" t="inlineStr"/>
      <c r="K429" s="14" t="n"/>
      <c r="L429" s="14" t="n"/>
    </row>
    <row r="430">
      <c r="A430" s="12" t="inlineStr">
        <is>
          <t>M429</t>
        </is>
      </c>
      <c r="B430" s="13" t="inlineStr">
        <is>
          <t>Orange – incertain</t>
        </is>
      </c>
      <c r="C430" s="12" t="inlineStr">
        <is>
          <t>BCPST2</t>
        </is>
      </c>
      <c r="D430" s="12" t="inlineStr">
        <is>
          <t>BCPST2 · Probabilités 4 – Variables à densité</t>
        </is>
      </c>
      <c r="E430" s="12" t="inlineStr">
        <is>
          <t>Définition</t>
        </is>
      </c>
      <c r="F430" s="13" t="inlineStr">
        <is>
          <t>Couple de variables à densité</t>
        </is>
      </c>
      <c r="G430" s="12" t="inlineStr">
        <is>
          <t>$(X,Y)$ admet la densité $f$ sur $\mathbb R^2$ si $P(X\in I,Y\in J)=\int_I\int_Jf(x,y)\,dy\,dx$ pour tous intervalles $I,J$.</t>
        </is>
      </c>
      <c r="H430" s="12" t="inlineStr">
        <is>
          <t>Les couples à densité ne sont pas au programme (seuls les couples discrets le sont, Probabilités 3) ; non explicitement exclus.</t>
        </is>
      </c>
      <c r="I430" s="12" t="n">
        <v>91</v>
      </c>
      <c r="J430" s="12" t="inlineStr">
        <is>
          <t>Coquille dans l'ouvrage (« $P(X\in I)$ » au lieu de $P(X\in I,Y\in J)$)</t>
        </is>
      </c>
      <c r="K430" s="14" t="n"/>
      <c r="L430" s="14" t="n"/>
    </row>
    <row r="431">
      <c r="A431" s="12" t="inlineStr">
        <is>
          <t>M430</t>
        </is>
      </c>
      <c r="B431" s="13" t="inlineStr">
        <is>
          <t>Orange – incertain</t>
        </is>
      </c>
      <c r="C431" s="12" t="inlineStr">
        <is>
          <t>BCPST2</t>
        </is>
      </c>
      <c r="D431" s="12" t="inlineStr">
        <is>
          <t>BCPST2 · Probabilités 4 – Variables à densité</t>
        </is>
      </c>
      <c r="E431" s="12" t="inlineStr">
        <is>
          <t>Théorème</t>
        </is>
      </c>
      <c r="F431" s="13" t="inlineStr">
        <is>
          <t>Densités conjointe et marginales</t>
        </is>
      </c>
      <c r="G431" s="12" t="inlineStr">
        <is>
          <t>$f_X(x)=\int_{\mathbb R}f(x,y)\,dy$ ; $f_Y(y)=\int_{\mathbb R}f(x,y)\,dx$.</t>
        </is>
      </c>
      <c r="H431" s="12" t="inlineStr">
        <is>
          <t>Les couples à densité ne sont pas au programme (seuls les couples discrets le sont, Probabilités 3) ; non explicitement exclus.</t>
        </is>
      </c>
      <c r="I431" s="12" t="n">
        <v>91</v>
      </c>
      <c r="J431" s="12" t="inlineStr"/>
      <c r="K431" s="14" t="n"/>
      <c r="L431" s="14" t="n"/>
    </row>
    <row r="432">
      <c r="A432" s="12" t="inlineStr">
        <is>
          <t>M431</t>
        </is>
      </c>
      <c r="B432" s="13" t="inlineStr">
        <is>
          <t>Orange – incertain</t>
        </is>
      </c>
      <c r="C432" s="12" t="inlineStr">
        <is>
          <t>BCPST2</t>
        </is>
      </c>
      <c r="D432" s="12" t="inlineStr">
        <is>
          <t>BCPST2 · Probabilités 4 – Variables à densité</t>
        </is>
      </c>
      <c r="E432" s="12" t="inlineStr">
        <is>
          <t>Définition</t>
        </is>
      </c>
      <c r="F432" s="13" t="inlineStr">
        <is>
          <t>Fonction de répartition d'un couple</t>
        </is>
      </c>
      <c r="G432" s="12" t="inlineStr">
        <is>
          <t>$F_{(X,Y)}(x,y)=P(X\le x,\ Y\le y)$.</t>
        </is>
      </c>
      <c r="H432" s="12" t="inlineStr">
        <is>
          <t>Les couples à densité ne sont pas au programme (seuls les couples discrets le sont, Probabilités 3) ; non explicitement exclus.</t>
        </is>
      </c>
      <c r="I432" s="12" t="n">
        <v>91</v>
      </c>
      <c r="J432" s="12" t="inlineStr">
        <is>
          <t>L'ouvrage écrit « V.A.R.D. » pour des variables à densité (coquille)</t>
        </is>
      </c>
      <c r="K432" s="14" t="n"/>
      <c r="L432" s="14" t="n"/>
    </row>
    <row r="433">
      <c r="A433" s="12" t="inlineStr">
        <is>
          <t>M432</t>
        </is>
      </c>
      <c r="B433" s="13" t="inlineStr">
        <is>
          <t>Orange – incertain</t>
        </is>
      </c>
      <c r="C433" s="12" t="inlineStr">
        <is>
          <t>BCPST2</t>
        </is>
      </c>
      <c r="D433" s="12" t="inlineStr">
        <is>
          <t>BCPST2 · Probabilités 4 – Variables à densité</t>
        </is>
      </c>
      <c r="E433" s="12" t="inlineStr">
        <is>
          <t>Propriété</t>
        </is>
      </c>
      <c r="F433" s="13" t="inlineStr">
        <is>
          <t>Densité et fonction de répartition d'un couple</t>
        </is>
      </c>
      <c r="G433" s="12" t="inlineStr">
        <is>
          <t>En tout point de continuité de $f$ : $\dfrac{\partial^2F_{(X,Y)}}{\partial x\partial y}=f$.</t>
        </is>
      </c>
      <c r="H433" s="12" t="inlineStr">
        <is>
          <t>Les couples à densité ne sont pas au programme (seuls les couples discrets le sont, Probabilités 3) ; non explicitement exclus.</t>
        </is>
      </c>
      <c r="I433" s="12" t="n">
        <v>91</v>
      </c>
      <c r="J433" s="12" t="inlineStr"/>
      <c r="K433" s="14" t="n"/>
      <c r="L433" s="14" t="n"/>
    </row>
    <row r="434">
      <c r="A434" s="12" t="inlineStr">
        <is>
          <t>M433</t>
        </is>
      </c>
      <c r="B434" s="13" t="inlineStr">
        <is>
          <t>Orange – incertain</t>
        </is>
      </c>
      <c r="C434" s="12" t="inlineStr">
        <is>
          <t>BCPST2</t>
        </is>
      </c>
      <c r="D434" s="12" t="inlineStr">
        <is>
          <t>BCPST2 · Probabilités 4 – Variables à densité</t>
        </is>
      </c>
      <c r="E434" s="12" t="inlineStr">
        <is>
          <t>Définition</t>
        </is>
      </c>
      <c r="F434" s="13" t="inlineStr">
        <is>
          <t>Densités conditionnelles</t>
        </is>
      </c>
      <c r="G434" s="12" t="inlineStr">
        <is>
          <t>Si $f_Y(y)\neq0$ : $f_{X|Y=y}(x)=\dfrac{f(x,y)}{f_Y(y)}$ ; de même pour $Y$ sachant $X=x$.</t>
        </is>
      </c>
      <c r="H434" s="12" t="inlineStr">
        <is>
          <t>Les couples à densité ne sont pas au programme (seuls les couples discrets le sont, Probabilités 3) ; non explicitement exclus.</t>
        </is>
      </c>
      <c r="I434" s="12" t="n">
        <v>92</v>
      </c>
      <c r="J434" s="12" t="inlineStr"/>
      <c r="K434" s="14" t="n"/>
      <c r="L434" s="14" t="n"/>
    </row>
    <row r="435">
      <c r="A435" s="12" t="inlineStr">
        <is>
          <t>M434</t>
        </is>
      </c>
      <c r="B435" s="13" t="inlineStr">
        <is>
          <t>Orange – incertain</t>
        </is>
      </c>
      <c r="C435" s="12" t="inlineStr">
        <is>
          <t>BCPST2</t>
        </is>
      </c>
      <c r="D435" s="12" t="inlineStr">
        <is>
          <t>BCPST2 · Probabilités 4 – Variables à densité</t>
        </is>
      </c>
      <c r="E435" s="12" t="inlineStr">
        <is>
          <t>Théorème</t>
        </is>
      </c>
      <c r="F435" s="13" t="inlineStr">
        <is>
          <t>Densité d'un couple de variables indépendantes</t>
        </is>
      </c>
      <c r="G435" s="12" t="inlineStr">
        <is>
          <t>Si $X$ et $Y$ sont indépendantes de densités $f_X,f_Y$, $(X,Y)$ admet la densité $f(x,y)=f_X(x)f_Y(y)$.</t>
        </is>
      </c>
      <c r="H435" s="12" t="inlineStr">
        <is>
          <t>Les couples à densité ne sont pas au programme (seuls les couples discrets le sont, Probabilités 3) ; non explicitement exclus.</t>
        </is>
      </c>
      <c r="I435" s="12" t="n">
        <v>93</v>
      </c>
      <c r="J435" s="12" t="inlineStr">
        <is>
          <t>Titre de l'ouvrage : « Densité conjointe et marginales… » (doublon de titre)</t>
        </is>
      </c>
      <c r="K435" s="14" t="n"/>
      <c r="L435" s="14" t="n"/>
    </row>
    <row r="436">
      <c r="A436" s="9" t="inlineStr">
        <is>
          <t>M435</t>
        </is>
      </c>
      <c r="B436" s="10" t="inlineStr">
        <is>
          <t>Noir – conforme</t>
        </is>
      </c>
      <c r="C436" s="9" t="inlineStr">
        <is>
          <t>BCPST2</t>
        </is>
      </c>
      <c r="D436" s="9" t="inlineStr">
        <is>
          <t>BCPST2 · Probabilités 4 – Variables à densité</t>
        </is>
      </c>
      <c r="E436" s="9" t="inlineStr">
        <is>
          <t>Théorème</t>
        </is>
      </c>
      <c r="F436" s="10" t="inlineStr">
        <is>
          <t>Lemmes des sous-familles et des coalitions (densité)</t>
        </is>
      </c>
      <c r="G436" s="9" t="inlineStr">
        <is>
          <t>Sous-familles et fonctions de « paquets » disjoints de variables mutuellement indépendantes restent (mutuellement) indépendantes.</t>
        </is>
      </c>
      <c r="H436" s="9" t="inlineStr">
        <is>
          <t>« Si X₁, …, Xₙ sont indépendantes, toute sous-famille l'est aussi. Lemme des coalitions … »</t>
        </is>
      </c>
      <c r="I436" s="9" t="n">
        <v>93</v>
      </c>
      <c r="J436" s="9" t="inlineStr">
        <is>
          <t>Deux cadres regroupés (doublons de la partie discrète)</t>
        </is>
      </c>
      <c r="K436" s="11" t="n"/>
      <c r="L436" s="11" t="n"/>
    </row>
    <row r="437">
      <c r="A437" s="12" t="inlineStr">
        <is>
          <t>M436</t>
        </is>
      </c>
      <c r="B437" s="13" t="inlineStr">
        <is>
          <t>Orange – incertain</t>
        </is>
      </c>
      <c r="C437" s="12" t="inlineStr">
        <is>
          <t>BCPST2</t>
        </is>
      </c>
      <c r="D437" s="12" t="inlineStr">
        <is>
          <t>BCPST2 · Probabilités 4 – Variables à densité</t>
        </is>
      </c>
      <c r="E437" s="12" t="inlineStr">
        <is>
          <t>Théorème</t>
        </is>
      </c>
      <c r="F437" s="13" t="inlineStr">
        <is>
          <t>Densité d'une somme de variables indépendantes (convolution)</t>
        </is>
      </c>
      <c r="G437" s="12" t="inlineStr">
        <is>
          <t>Si $X,Y$ sont indépendantes à densité : $f_{X+Y}(x)=\int_{-\infty}^{+\infty}f_X(x-t)f_Y(t)\,dt$.</t>
        </is>
      </c>
      <c r="H437" s="12" t="inlineStr">
        <is>
          <t>Au programme mais NON à mémoriser : « Loi de la somme de deux variables indépendantes à densité. Le résultat est admis. La formule du produit de convolution devra être rappelée en cas de besoin. »</t>
        </is>
      </c>
      <c r="I437" s="12" t="n">
        <v>93</v>
      </c>
      <c r="J437" s="12" t="inlineStr">
        <is>
          <t>Titre de l'ouvrage erroné (« gaussiennes ») : le résultat vaut pour toutes variables à densité indépendantes</t>
        </is>
      </c>
      <c r="K437" s="14" t="n"/>
      <c r="L437" s="14" t="n"/>
    </row>
    <row r="438">
      <c r="A438" s="9" t="inlineStr">
        <is>
          <t>M437</t>
        </is>
      </c>
      <c r="B438" s="10" t="inlineStr">
        <is>
          <t>Noir – conforme</t>
        </is>
      </c>
      <c r="C438" s="9" t="inlineStr">
        <is>
          <t>BCPST2</t>
        </is>
      </c>
      <c r="D438" s="9" t="inlineStr">
        <is>
          <t>BCPST2 · Probabilités 4 – Variables à densité</t>
        </is>
      </c>
      <c r="E438" s="9" t="inlineStr">
        <is>
          <t>Théorème</t>
        </is>
      </c>
      <c r="F438" s="10" t="inlineStr">
        <is>
          <t>Somme de deux gaussiennes indépendantes</t>
        </is>
      </c>
      <c r="G438" s="9" t="inlineStr">
        <is>
          <t>$X\sim\mathcal N(m_1,\sigma_1^2)$, $Y\sim\mathcal N(m_2,\sigma_2^2)$ indépendantes $\Rightarrow X+Y\sim\mathcal N(m_1+m_2,\sigma_1^2+\sigma_2^2)$.</t>
        </is>
      </c>
      <c r="H438" s="9" t="inlineStr">
        <is>
          <t>« Somme de deux variables aléatoires normales indépendantes … On généralise le résultat au cas de n variables gaussiennes indépendantes. »</t>
        </is>
      </c>
      <c r="I438" s="9" t="n">
        <v>93</v>
      </c>
      <c r="J438" s="9" t="inlineStr"/>
      <c r="K438" s="11" t="n"/>
      <c r="L438" s="11" t="n"/>
    </row>
    <row r="439">
      <c r="A439" s="12" t="inlineStr">
        <is>
          <t>M438</t>
        </is>
      </c>
      <c r="B439" s="13" t="inlineStr">
        <is>
          <t>Orange – incertain</t>
        </is>
      </c>
      <c r="C439" s="12" t="inlineStr">
        <is>
          <t>BCPST2</t>
        </is>
      </c>
      <c r="D439" s="12" t="inlineStr">
        <is>
          <t>BCPST2 · Probabilités 4 – Variables à densité</t>
        </is>
      </c>
      <c r="E439" s="12" t="inlineStr">
        <is>
          <t>Théorème</t>
        </is>
      </c>
      <c r="F439" s="13" t="inlineStr">
        <is>
          <t>Théorème de transfert (couple à densité)</t>
        </is>
      </c>
      <c r="G439" s="12" t="inlineStr">
        <is>
          <t>$E(u(X,Y))=\iint u(x,y)f(x,y)\,dx\,dy$, sous réserve de convergence absolue.</t>
        </is>
      </c>
      <c r="H439" s="12" t="inlineStr">
        <is>
          <t>Les couples à densité ne sont pas au programme (seuls les couples discrets le sont, Probabilités 3) ; non explicitement exclus.</t>
        </is>
      </c>
      <c r="I439" s="12" t="n">
        <v>94</v>
      </c>
      <c r="J439" s="12" t="inlineStr"/>
      <c r="K439" s="14" t="n"/>
      <c r="L439" s="14" t="n"/>
    </row>
    <row r="440">
      <c r="A440" s="9" t="inlineStr">
        <is>
          <t>M439</t>
        </is>
      </c>
      <c r="B440" s="10" t="inlineStr">
        <is>
          <t>Noir – conforme</t>
        </is>
      </c>
      <c r="C440" s="9" t="inlineStr">
        <is>
          <t>BCPST2</t>
        </is>
      </c>
      <c r="D440" s="9" t="inlineStr">
        <is>
          <t>BCPST2 · Probabilités 4 – Variables à densité</t>
        </is>
      </c>
      <c r="E440" s="9" t="inlineStr">
        <is>
          <t>Théorème</t>
        </is>
      </c>
      <c r="F440" s="10" t="inlineStr">
        <is>
          <t>Linéarité de l'espérance (densité)</t>
        </is>
      </c>
      <c r="G440" s="9" t="inlineStr">
        <is>
          <t>$E(aX+bY)=aE(X)+bE(Y)$.</t>
        </is>
      </c>
      <c r="H440" s="9" t="inlineStr">
        <is>
          <t>« La linéarité de l'espérance est admise. »</t>
        </is>
      </c>
      <c r="I440" s="9" t="n">
        <v>94</v>
      </c>
      <c r="J440" s="9" t="inlineStr"/>
      <c r="K440" s="11" t="n"/>
      <c r="L440" s="11" t="n"/>
    </row>
    <row r="441">
      <c r="A441" s="12" t="inlineStr">
        <is>
          <t>M440</t>
        </is>
      </c>
      <c r="B441" s="13" t="inlineStr">
        <is>
          <t>Orange – incertain</t>
        </is>
      </c>
      <c r="C441" s="12" t="inlineStr">
        <is>
          <t>BCPST2</t>
        </is>
      </c>
      <c r="D441" s="12" t="inlineStr">
        <is>
          <t>BCPST2 · Probabilités 4 – Variables à densité</t>
        </is>
      </c>
      <c r="E441" s="12" t="inlineStr">
        <is>
          <t>Propriété</t>
        </is>
      </c>
      <c r="F441" s="13" t="inlineStr">
        <is>
          <t>Covariance (variables à densité)</t>
        </is>
      </c>
      <c r="G441" s="12" t="inlineStr">
        <is>
          <t>$\mathrm{Cov}(X,Y)=E(XY)-E(X)E(Y)=E[(X-EX)(Y-EY)]$ ; mêmes propriétés que dans le cas discret.</t>
        </is>
      </c>
      <c r="H441" s="12" t="inlineStr">
        <is>
          <t>La covariance n'est citée que pour les variables discrètes (Probabilités 3).</t>
        </is>
      </c>
      <c r="I441" s="12" t="n">
        <v>94</v>
      </c>
      <c r="J441" s="12" t="inlineStr">
        <is>
          <t>Deux cadres regroupés</t>
        </is>
      </c>
      <c r="K441" s="14" t="n"/>
      <c r="L441" s="14" t="n"/>
    </row>
    <row r="442">
      <c r="A442" s="12" t="inlineStr">
        <is>
          <t>M441</t>
        </is>
      </c>
      <c r="B442" s="13" t="inlineStr">
        <is>
          <t>Orange – incertain</t>
        </is>
      </c>
      <c r="C442" s="12" t="inlineStr">
        <is>
          <t>BCPST2</t>
        </is>
      </c>
      <c r="D442" s="12" t="inlineStr">
        <is>
          <t>BCPST2 · Probabilités 4 – Variables à densité</t>
        </is>
      </c>
      <c r="E442" s="12" t="inlineStr">
        <is>
          <t>Définition</t>
        </is>
      </c>
      <c r="F442" s="13" t="inlineStr">
        <is>
          <t>Coefficient de corrélation (variables à densité)</t>
        </is>
      </c>
      <c r="G442" s="12" t="inlineStr">
        <is>
          <t>$\rho(X,Y)=\dfrac{\mathrm{Cov}(X,Y)}{\sigma(X)\sigma(Y)}$.</t>
        </is>
      </c>
      <c r="H442" s="12" t="inlineStr">
        <is>
          <t>Programme muet : notion non mentionnée.</t>
        </is>
      </c>
      <c r="I442" s="12" t="n">
        <v>94</v>
      </c>
      <c r="J442" s="12" t="inlineStr"/>
      <c r="K442" s="14" t="n"/>
      <c r="L442" s="14" t="n"/>
    </row>
    <row r="443">
      <c r="A443" s="12" t="inlineStr">
        <is>
          <t>M442</t>
        </is>
      </c>
      <c r="B443" s="13" t="inlineStr">
        <is>
          <t>Orange – incertain</t>
        </is>
      </c>
      <c r="C443" s="12" t="inlineStr">
        <is>
          <t>BCPST2</t>
        </is>
      </c>
      <c r="D443" s="12" t="inlineStr">
        <is>
          <t>BCPST2 · Probabilités 4 – Variables à densité</t>
        </is>
      </c>
      <c r="E443" s="12" t="inlineStr">
        <is>
          <t>Théorème</t>
        </is>
      </c>
      <c r="F443" s="13" t="inlineStr">
        <is>
          <t>Coefficient de corrélation (densité) – Théorème</t>
        </is>
      </c>
      <c r="G443" s="12" t="inlineStr">
        <is>
          <t>$|\rho(X,Y)|\le1$, égalité ssi $P(Y=aX+b)=1$ pour certains $a,b$.</t>
        </is>
      </c>
      <c r="H443" s="12" t="inlineStr">
        <is>
          <t>Programme muet : notion non mentionnée.</t>
        </is>
      </c>
      <c r="I443" s="12" t="n">
        <v>95</v>
      </c>
      <c r="J443" s="12" t="inlineStr"/>
      <c r="K443" s="14" t="n"/>
      <c r="L443" s="14" t="n"/>
    </row>
    <row r="444">
      <c r="A444" s="9" t="inlineStr">
        <is>
          <t>M443</t>
        </is>
      </c>
      <c r="B444" s="10" t="inlineStr">
        <is>
          <t>Noir – conforme</t>
        </is>
      </c>
      <c r="C444" s="9" t="inlineStr">
        <is>
          <t>BCPST2</t>
        </is>
      </c>
      <c r="D444" s="9" t="inlineStr">
        <is>
          <t>BCPST2 · Probabilités 4 – Variables à densité</t>
        </is>
      </c>
      <c r="E444" s="9" t="inlineStr">
        <is>
          <t>Théorème</t>
        </is>
      </c>
      <c r="F444" s="10" t="inlineStr">
        <is>
          <t>Indépendance et covariance (densité)</t>
        </is>
      </c>
      <c r="G444" s="9" t="inlineStr">
        <is>
          <t>Si $X,Y$ sont indépendantes : $E(XY)=E(X)E(Y)$, $\mathrm{Cov}(X,Y)=0$, $V(X+Y)=V(X)+V(Y)$ ; réciproque fausse.</t>
        </is>
      </c>
      <c r="H444" s="9" t="inlineStr">
        <is>
          <t>« Si X et Y sont indépendantes, espérance de XY et variance de X + Y. »</t>
        </is>
      </c>
      <c r="I444" s="9" t="n">
        <v>95</v>
      </c>
      <c r="J444" s="9" t="inlineStr"/>
      <c r="K444" s="11" t="n"/>
      <c r="L444" s="11" t="n"/>
    </row>
    <row r="445">
      <c r="A445" s="9" t="inlineStr">
        <is>
          <t>M444</t>
        </is>
      </c>
      <c r="B445" s="10" t="inlineStr">
        <is>
          <t>Noir – conforme</t>
        </is>
      </c>
      <c r="C445" s="9" t="inlineStr">
        <is>
          <t>BCPST2</t>
        </is>
      </c>
      <c r="D445" s="9" t="inlineStr">
        <is>
          <t>BCPST2 · Probabilités 4 – Variables à densité</t>
        </is>
      </c>
      <c r="E445" s="9" t="inlineStr">
        <is>
          <t>Théorème</t>
        </is>
      </c>
      <c r="F445" s="10" t="inlineStr">
        <is>
          <t>Espérance et variance d'une somme de n variables à densité</t>
        </is>
      </c>
      <c r="G445" s="9" t="inlineStr">
        <is>
          <t>$E(\sum X_k)=\sum E(X_k)$ ; $V(\sum X_k)=\sum V(X_k)+2\sum_{i&lt;j}\mathrm{Cov}(X_i,X_j)$, et $=\sum V(X_k)$ si deux à deux indépendantes.</t>
        </is>
      </c>
      <c r="H445" s="9" t="inlineStr">
        <is>
          <t>Linéarité de l'espérance ; « Généralisation au cas de n variables aléatoires indépendantes ». La formule avec covariances n'est pas citée.</t>
        </is>
      </c>
      <c r="I445" s="9" t="n">
        <v>95</v>
      </c>
      <c r="J445" s="9" t="inlineStr">
        <is>
          <t>Deux cadres regroupés (doublons du discret)</t>
        </is>
      </c>
      <c r="K445" s="11" t="n"/>
      <c r="L445" s="11" t="n"/>
    </row>
    <row r="446">
      <c r="A446" s="12" t="inlineStr">
        <is>
          <t>M445</t>
        </is>
      </c>
      <c r="B446" s="13" t="inlineStr">
        <is>
          <t>Orange – incertain</t>
        </is>
      </c>
      <c r="C446" s="12" t="inlineStr">
        <is>
          <t>BCPST2</t>
        </is>
      </c>
      <c r="D446" s="12" t="inlineStr">
        <is>
          <t>BCPST2 · Probabilités 5 – Théorèmes limites</t>
        </is>
      </c>
      <c r="E446" s="12" t="inlineStr">
        <is>
          <t>Propriété</t>
        </is>
      </c>
      <c r="F446" s="13" t="inlineStr">
        <is>
          <t>Approximation de la loi hypergéométrique par la loi binomiale</t>
        </is>
      </c>
      <c r="G446" s="12" t="inlineStr">
        <is>
          <t>Si $N\ge10n$ : $\mathcal H(N,n,p)\approx\mathcal B(n,p)$.</t>
        </is>
      </c>
      <c r="H446" s="12" t="inlineStr">
        <is>
          <t>Programme muet : notion non mentionnée. (la loi hypergéométrique est absente du programme)</t>
        </is>
      </c>
      <c r="I446" s="12" t="n">
        <v>96</v>
      </c>
      <c r="J446" s="12" t="inlineStr">
        <is>
          <t>Seuil $N\ge10n$ : règle pratique de l'ouvrage</t>
        </is>
      </c>
      <c r="K446" s="14" t="n"/>
      <c r="L446" s="14" t="n"/>
    </row>
    <row r="447">
      <c r="A447" s="9" t="inlineStr">
        <is>
          <t>M446</t>
        </is>
      </c>
      <c r="B447" s="10" t="inlineStr">
        <is>
          <t>Noir – conforme</t>
        </is>
      </c>
      <c r="C447" s="9" t="inlineStr">
        <is>
          <t>BCPST2</t>
        </is>
      </c>
      <c r="D447" s="9" t="inlineStr">
        <is>
          <t>BCPST2 · Probabilités 5 – Théorèmes limites</t>
        </is>
      </c>
      <c r="E447" s="9" t="inlineStr">
        <is>
          <t>Propriété</t>
        </is>
      </c>
      <c r="F447" s="10" t="inlineStr">
        <is>
          <t>Approximation de la loi binomiale par la loi de Poisson</t>
        </is>
      </c>
      <c r="G447" s="9" t="inlineStr">
        <is>
          <t>Si $n\ge30$, $p\le0{,}1$, $np\le10$ (règle pratique) : $\mathcal B(n,p)\approx\mathcal P(np)$.</t>
        </is>
      </c>
      <c r="H447" s="9" t="inlineStr">
        <is>
          <t>« Convergence en loi d'une suite de variables … binomiales vers une variable … de Poisson. Approximations qui en découlent. Les critères d'approximation devront être explicités. » (les seuils numériques sont donc fournis)</t>
        </is>
      </c>
      <c r="I447" s="9" t="n">
        <v>96</v>
      </c>
      <c r="J447" s="9" t="inlineStr">
        <is>
          <t>Seuils : règle pratique de l'ouvrage</t>
        </is>
      </c>
      <c r="K447" s="11" t="n"/>
      <c r="L447" s="11" t="n"/>
    </row>
    <row r="448">
      <c r="A448" s="9" t="inlineStr">
        <is>
          <t>M447</t>
        </is>
      </c>
      <c r="B448" s="10" t="inlineStr">
        <is>
          <t>Noir – conforme</t>
        </is>
      </c>
      <c r="C448" s="9" t="inlineStr">
        <is>
          <t>BCPST2</t>
        </is>
      </c>
      <c r="D448" s="9" t="inlineStr">
        <is>
          <t>BCPST2 · Probabilités 5 – Théorèmes limites</t>
        </is>
      </c>
      <c r="E448" s="9" t="inlineStr">
        <is>
          <t>Théorème</t>
        </is>
      </c>
      <c r="F448" s="10" t="inlineStr">
        <is>
          <t>Loi faible des grands nombres</t>
        </is>
      </c>
      <c r="G448" s="9" t="inlineStr">
        <is>
          <t>$(X_n)$ i.i.d. d'espérance $\mu$ et de variance $\sigma^2$, $\bar X_n=\frac1n\sum X_i$ : $\forall\varepsilon&gt;0,\ P(|\bar X_n-\mu|\ge\varepsilon)\to0$.</t>
        </is>
      </c>
      <c r="H448" s="9" t="inlineStr">
        <is>
          <t>« Loi faible des grands nombres pour des variables aléatoires mutuellement indépendantes. »</t>
        </is>
      </c>
      <c r="I448" s="9" t="n">
        <v>96</v>
      </c>
      <c r="J448" s="9" t="inlineStr"/>
      <c r="K448" s="11" t="n"/>
      <c r="L448" s="11" t="n"/>
    </row>
    <row r="449">
      <c r="A449" s="9" t="inlineStr">
        <is>
          <t>M448</t>
        </is>
      </c>
      <c r="B449" s="10" t="inlineStr">
        <is>
          <t>Noir – conforme</t>
        </is>
      </c>
      <c r="C449" s="9" t="inlineStr">
        <is>
          <t>BCPST2</t>
        </is>
      </c>
      <c r="D449" s="9" t="inlineStr">
        <is>
          <t>BCPST2 · Probabilités 5 – Théorèmes limites</t>
        </is>
      </c>
      <c r="E449" s="9" t="inlineStr">
        <is>
          <t>Théorème</t>
        </is>
      </c>
      <c r="F449" s="10" t="inlineStr">
        <is>
          <t>Théorème de la limite centrée (TCL)</t>
        </is>
      </c>
      <c r="G449" s="9" t="inlineStr">
        <is>
          <t>$(X_n)$ i.i.d. d'espérance $\mu$, de variance $\sigma^2&gt;0$ : $P\left(a&lt;\sqrt n\frac{\bar X_n-\mu}\sigma&lt;b\right)\to\frac1{\sqrt{2\pi}}\int_a^be^{-x^2/2}dx$ ; reste vrai en remplaçant $\sigma$ par l'écart-type empirique $\hat\sigma_n$.</t>
        </is>
      </c>
      <c r="H449" s="9" t="inlineStr">
        <is>
          <t>« Théorème central limite (première forme) … (seconde forme) avec l'écart-type empirique Sₙ. Théorème admis. »</t>
        </is>
      </c>
      <c r="I449" s="9" t="n">
        <v>97</v>
      </c>
      <c r="J449" s="9" t="inlineStr"/>
      <c r="K449" s="11" t="n"/>
      <c r="L449" s="11" t="n"/>
    </row>
    <row r="450">
      <c r="A450" s="12" t="inlineStr">
        <is>
          <t>M449</t>
        </is>
      </c>
      <c r="B450" s="13" t="inlineStr">
        <is>
          <t>Orange – incertain</t>
        </is>
      </c>
      <c r="C450" s="12" t="inlineStr">
        <is>
          <t>—</t>
        </is>
      </c>
      <c r="D450" s="12" t="inlineStr">
        <is>
          <t>Hors des chapitres du programme</t>
        </is>
      </c>
      <c r="E450" s="12" t="inlineStr">
        <is>
          <t>Propriété</t>
        </is>
      </c>
      <c r="F450" s="13" t="inlineStr">
        <is>
          <t>Coefficients de f(x) = c + Σ [aₖ cos(kωx) + bₖ sin(kωx)]</t>
        </is>
      </c>
      <c r="G450" s="12" t="inlineStr">
        <is>
          <t>$c=\frac\omega{2\pi}\int_0^{2\pi/\omega}f$ ; $a_k=\frac\omega\pi\int_0^{2\pi/\omega}f(t)\cos(k\omega t)\,dt$ ; $b_k=\frac\omega\pi\int_0^{2\pi/\omega}f(t)\sin(k\omega t)\,dt$.</t>
        </is>
      </c>
      <c r="H450" s="12" t="inlineStr">
        <is>
          <t>Programme muet : notion non mentionnée. (séries / coefficients de Fourier absents du programme de mathématiques)</t>
        </is>
      </c>
      <c r="I450" s="12" t="n">
        <v>41</v>
      </c>
      <c r="J450" s="12" t="inlineStr">
        <is>
          <t>Coquille dans l'ouvrage (« $c=$ » au lieu de « $b_k=$ »)</t>
        </is>
      </c>
      <c r="K450" s="14" t="n"/>
      <c r="L450" s="14" t="n"/>
    </row>
    <row r="451">
      <c r="A451" s="12" t="inlineStr">
        <is>
          <t>M450</t>
        </is>
      </c>
      <c r="B451" s="13" t="inlineStr">
        <is>
          <t>Orange – incertain</t>
        </is>
      </c>
      <c r="C451" s="12" t="inlineStr">
        <is>
          <t>—</t>
        </is>
      </c>
      <c r="D451" s="12" t="inlineStr">
        <is>
          <t>Hors des chapitres du programme</t>
        </is>
      </c>
      <c r="E451" s="12" t="inlineStr">
        <is>
          <t>Définition</t>
        </is>
      </c>
      <c r="F451" s="13" t="inlineStr">
        <is>
          <t>Forme différentielle en dimension 3 – Définition</t>
        </is>
      </c>
      <c r="G451" s="12" t="inlineStr">
        <is>
          <t>$\omega=p\,dx+q\,dy+r\,dz$, avec $p,q,r$ continues sur un pavé ouvert de $\mathbb R^3$.</t>
        </is>
      </c>
      <c r="H451" s="12" t="inlineStr">
        <is>
          <t>Programme muet : notion non mentionnée. (formes différentielles absentes du programme de mathématiques)</t>
        </is>
      </c>
      <c r="I451" s="12" t="n">
        <v>49</v>
      </c>
      <c r="J451" s="12" t="inlineStr"/>
      <c r="K451" s="14" t="n"/>
      <c r="L451" s="14" t="n"/>
    </row>
    <row r="452">
      <c r="A452" s="12" t="inlineStr">
        <is>
          <t>M451</t>
        </is>
      </c>
      <c r="B452" s="13" t="inlineStr">
        <is>
          <t>Orange – incertain</t>
        </is>
      </c>
      <c r="C452" s="12" t="inlineStr">
        <is>
          <t>—</t>
        </is>
      </c>
      <c r="D452" s="12" t="inlineStr">
        <is>
          <t>Hors des chapitres du programme</t>
        </is>
      </c>
      <c r="E452" s="12" t="inlineStr">
        <is>
          <t>Définition</t>
        </is>
      </c>
      <c r="F452" s="13" t="inlineStr">
        <is>
          <t>Forme différentielle exacte en dimension 3 – Définition</t>
        </is>
      </c>
      <c r="G452" s="12" t="inlineStr">
        <is>
          <t>$\omega$ est exacte s'il existe $f$ telle que $\omega=df$.</t>
        </is>
      </c>
      <c r="H452" s="12" t="inlineStr">
        <is>
          <t>Programme muet : notion non mentionnée.</t>
        </is>
      </c>
      <c r="I452" s="12" t="n">
        <v>50</v>
      </c>
      <c r="J452" s="12" t="inlineStr"/>
      <c r="K452" s="14" t="n"/>
      <c r="L452" s="14" t="n"/>
    </row>
    <row r="453">
      <c r="A453" s="12" t="inlineStr">
        <is>
          <t>M452</t>
        </is>
      </c>
      <c r="B453" s="13" t="inlineStr">
        <is>
          <t>Orange – incertain</t>
        </is>
      </c>
      <c r="C453" s="12" t="inlineStr">
        <is>
          <t>—</t>
        </is>
      </c>
      <c r="D453" s="12" t="inlineStr">
        <is>
          <t>Hors des chapitres du programme</t>
        </is>
      </c>
      <c r="E453" s="12" t="inlineStr">
        <is>
          <t>Théorème</t>
        </is>
      </c>
      <c r="F453" s="13" t="inlineStr">
        <is>
          <t>Forme différentielle exacte en dimension 3 – Caractérisation</t>
        </is>
      </c>
      <c r="G453" s="12" t="inlineStr">
        <is>
          <t>Sur un pavé ouvert, pour $p,q,r$ de classe $\mathcal C^1$ : $\omega$ exacte $\iff\frac{\partial p}{\partial y}=\frac{\partial q}{\partial x}$, $\frac{\partial q}{\partial z}=\frac{\partial r}{\partial y}$, $\frac{\partial p}{\partial z}=\frac{\partial r}{\partial x}$.</t>
        </is>
      </c>
      <c r="H453" s="12" t="inlineStr">
        <is>
          <t>Programme muet : notion non mentionnée.</t>
        </is>
      </c>
      <c r="I453" s="12" t="n">
        <v>50</v>
      </c>
      <c r="J453" s="12" t="inlineStr"/>
      <c r="K453" s="14" t="n"/>
      <c r="L453" s="14" t="n"/>
    </row>
    <row r="454">
      <c r="A454" s="12" t="inlineStr">
        <is>
          <t>M453</t>
        </is>
      </c>
      <c r="B454" s="13" t="inlineStr">
        <is>
          <t>Orange – incertain</t>
        </is>
      </c>
      <c r="C454" s="12" t="inlineStr">
        <is>
          <t>—</t>
        </is>
      </c>
      <c r="D454" s="12" t="inlineStr">
        <is>
          <t>Hors des chapitres du programme</t>
        </is>
      </c>
      <c r="E454" s="12" t="inlineStr">
        <is>
          <t>Théorème</t>
        </is>
      </c>
      <c r="F454" s="13" t="inlineStr">
        <is>
          <t>Intégrales doubles (théorème de Fubini)</t>
        </is>
      </c>
      <c r="G454" s="12" t="inlineStr">
        <is>
          <t>Pour $f$ continue sur $I\times J$ (sous réserve d'absolue convergence) : $\int_I\int_Jf(x,y)\,dy\,dx=\int_J\int_If(x,y)\,dx\,dy$.</t>
        </is>
      </c>
      <c r="H454" s="12" t="inlineStr">
        <is>
          <t>Programme muet : notion non mentionnée. (intégrales doubles absentes du programme de mathématiques)</t>
        </is>
      </c>
      <c r="I454" s="12" t="n">
        <v>50</v>
      </c>
      <c r="J454" s="12" t="inlineStr"/>
      <c r="K454" s="14" t="n"/>
      <c r="L454" s="14" t="n"/>
    </row>
    <row r="455">
      <c r="A455" s="12" t="inlineStr">
        <is>
          <t>M454</t>
        </is>
      </c>
      <c r="B455" s="13" t="inlineStr">
        <is>
          <t>Orange – incertain</t>
        </is>
      </c>
      <c r="C455" s="12" t="inlineStr">
        <is>
          <t>—</t>
        </is>
      </c>
      <c r="D455" s="12" t="inlineStr">
        <is>
          <t>Hors des chapitres du programme</t>
        </is>
      </c>
      <c r="E455" s="12" t="inlineStr">
        <is>
          <t>Théorème</t>
        </is>
      </c>
      <c r="F455" s="13" t="inlineStr">
        <is>
          <t>Intégrales doubles en coordonnées polaires</t>
        </is>
      </c>
      <c r="G455" s="12" t="inlineStr">
        <is>
          <t>$\iint_Df(x,y)\,dx\,dy=\iint_\Delta f(r\cos\theta,r\sin\theta)\,r\,dr\,d\theta$, où $\Delta$ décrit $D$ en coordonnées polaires.</t>
        </is>
      </c>
      <c r="H455" s="12" t="inlineStr">
        <is>
          <t>Programme muet : notion non mentionnée.</t>
        </is>
      </c>
      <c r="I455" s="12" t="n">
        <v>50</v>
      </c>
      <c r="J455" s="12" t="inlineStr"/>
      <c r="K455" s="14" t="n"/>
      <c r="L455" s="14" t="n"/>
    </row>
    <row r="456">
      <c r="A456" s="12" t="inlineStr">
        <is>
          <t>M455</t>
        </is>
      </c>
      <c r="B456" s="13" t="inlineStr">
        <is>
          <t>Orange – incertain</t>
        </is>
      </c>
      <c r="C456" s="12" t="inlineStr">
        <is>
          <t>—</t>
        </is>
      </c>
      <c r="D456" s="12" t="inlineStr">
        <is>
          <t>Hors des chapitres du programme</t>
        </is>
      </c>
      <c r="E456" s="12" t="inlineStr">
        <is>
          <t>Définition</t>
        </is>
      </c>
      <c r="F456" s="13" t="inlineStr">
        <is>
          <t>Orientation de l'espace affine</t>
        </is>
      </c>
      <c r="G456" s="12" t="inlineStr">
        <is>
          <t>Une base orthonormale $(\vec i,\vec j,\vec k)$ est directe si elle vérifie la règle de la main droite (pouce, index, majeur).</t>
        </is>
      </c>
      <c r="H456" s="12" t="inlineStr">
        <is>
          <t>Programme muet : notion non mentionnée. (orientation de l'espace absente du programme de mathématiques)</t>
        </is>
      </c>
      <c r="I456" s="12" t="n">
        <v>70</v>
      </c>
      <c r="J456" s="12" t="inlineStr"/>
      <c r="K456" s="14" t="n"/>
      <c r="L456" s="14" t="n"/>
    </row>
    <row r="457">
      <c r="A457" s="12" t="inlineStr">
        <is>
          <t>M456</t>
        </is>
      </c>
      <c r="B457" s="13" t="inlineStr">
        <is>
          <t>Orange – incertain</t>
        </is>
      </c>
      <c r="C457" s="12" t="inlineStr">
        <is>
          <t>—</t>
        </is>
      </c>
      <c r="D457" s="12" t="inlineStr">
        <is>
          <t>Hors des chapitres du programme</t>
        </is>
      </c>
      <c r="E457" s="12" t="inlineStr">
        <is>
          <t>Définition</t>
        </is>
      </c>
      <c r="F457" s="13" t="inlineStr">
        <is>
          <t>Produit vectoriel – Définition</t>
        </is>
      </c>
      <c r="G457" s="12" t="inlineStr">
        <is>
          <t>En base orthonormale directe : $\vec u\wedge\vec v=(yz'-zy',\ zx'-xz',\ xy'-yx')$.</t>
        </is>
      </c>
      <c r="H457" s="12" t="inlineStr">
        <is>
          <t>Programme muet : notion non mentionnée. Le produit vectoriel n'apparaît ni dans le programme de mathématiques ni dans celui de physique-chimie (vérifié par recherche).</t>
        </is>
      </c>
      <c r="I457" s="12" t="n">
        <v>70</v>
      </c>
      <c r="J457" s="12" t="inlineStr"/>
      <c r="K457" s="14" t="n"/>
      <c r="L457" s="14" t="n"/>
    </row>
    <row r="458">
      <c r="A458" s="12" t="inlineStr">
        <is>
          <t>M457</t>
        </is>
      </c>
      <c r="B458" s="13" t="inlineStr">
        <is>
          <t>Orange – incertain</t>
        </is>
      </c>
      <c r="C458" s="12" t="inlineStr">
        <is>
          <t>—</t>
        </is>
      </c>
      <c r="D458" s="12" t="inlineStr">
        <is>
          <t>Hors des chapitres du programme</t>
        </is>
      </c>
      <c r="E458" s="12" t="inlineStr">
        <is>
          <t>Propriété</t>
        </is>
      </c>
      <c r="F458" s="13" t="inlineStr">
        <is>
          <t>Produit vectoriel – Règles de calcul</t>
        </is>
      </c>
      <c r="G458" s="12" t="inlineStr">
        <is>
          <t>Bilinéarité ; antisymétrie : $\vec u\wedge\vec v=-\vec v\wedge\vec u$.</t>
        </is>
      </c>
      <c r="H458" s="12" t="inlineStr">
        <is>
          <t>Programme muet : notion non mentionnée. Le produit vectoriel n'apparaît ni dans le programme de mathématiques ni dans celui de physique-chimie (vérifié par recherche).</t>
        </is>
      </c>
      <c r="I458" s="12" t="n">
        <v>70</v>
      </c>
      <c r="J458" s="12" t="inlineStr"/>
      <c r="K458" s="14" t="n"/>
      <c r="L458" s="14" t="n"/>
    </row>
    <row r="459">
      <c r="A459" s="12" t="inlineStr">
        <is>
          <t>M458</t>
        </is>
      </c>
      <c r="B459" s="13" t="inlineStr">
        <is>
          <t>Orange – incertain</t>
        </is>
      </c>
      <c r="C459" s="12" t="inlineStr">
        <is>
          <t>—</t>
        </is>
      </c>
      <c r="D459" s="12" t="inlineStr">
        <is>
          <t>Hors des chapitres du programme</t>
        </is>
      </c>
      <c r="E459" s="12" t="inlineStr">
        <is>
          <t>Propriété</t>
        </is>
      </c>
      <c r="F459" s="13" t="inlineStr">
        <is>
          <t>Produit vectoriel – Propriété (orthogonalité)</t>
        </is>
      </c>
      <c r="G459" s="12" t="inlineStr">
        <is>
          <t>$\vec u\wedge\vec v$ est orthogonal à $\vec u$ et à $\vec v$. Si $\vec u,\vec v$ sont unitaires et orthogonaux, $(\vec u,\vec v,\vec u\wedge\vec v)$ est une base orthonormale directe.</t>
        </is>
      </c>
      <c r="H459" s="12" t="inlineStr">
        <is>
          <t>Programme muet : notion non mentionnée. Le produit vectoriel n'apparaît ni dans le programme de mathématiques ni dans celui de physique-chimie (vérifié par recherche).</t>
        </is>
      </c>
      <c r="I459" s="12" t="n">
        <v>71</v>
      </c>
      <c r="J459" s="12" t="inlineStr">
        <is>
          <t>ERREUR DANS L'OUVRAGE : il écrit « non colinéaires et unitaires », il faut « orthogonaux et unitaires » ; corrigé</t>
        </is>
      </c>
      <c r="K459" s="14" t="n"/>
      <c r="L459" s="14" t="n"/>
    </row>
    <row r="460">
      <c r="A460" s="12" t="inlineStr">
        <is>
          <t>M459</t>
        </is>
      </c>
      <c r="B460" s="13" t="inlineStr">
        <is>
          <t>Orange – incertain</t>
        </is>
      </c>
      <c r="C460" s="12" t="inlineStr">
        <is>
          <t>—</t>
        </is>
      </c>
      <c r="D460" s="12" t="inlineStr">
        <is>
          <t>Hors des chapitres du programme</t>
        </is>
      </c>
      <c r="E460" s="12" t="inlineStr">
        <is>
          <t>Propriété</t>
        </is>
      </c>
      <c r="F460" s="13" t="inlineStr">
        <is>
          <t>Colinéarité et produit vectoriel</t>
        </is>
      </c>
      <c r="G460" s="12" t="inlineStr">
        <is>
          <t>$\vec u$ et $\vec v$ colinéaires $\iff\vec u\wedge\vec v=\vec0$.</t>
        </is>
      </c>
      <c r="H460" s="12" t="inlineStr">
        <is>
          <t>Programme muet : notion non mentionnée. Le produit vectoriel n'apparaît ni dans le programme de mathématiques ni dans celui de physique-chimie (vérifié par recherche).</t>
        </is>
      </c>
      <c r="I460" s="12" t="n">
        <v>71</v>
      </c>
      <c r="J460" s="12" t="inlineStr"/>
      <c r="K460" s="14" t="n"/>
      <c r="L460" s="14" t="n"/>
    </row>
    <row r="461">
      <c r="A461" s="12" t="inlineStr">
        <is>
          <t>M460</t>
        </is>
      </c>
      <c r="B461" s="13" t="inlineStr">
        <is>
          <t>Orange – incertain</t>
        </is>
      </c>
      <c r="C461" s="12" t="inlineStr">
        <is>
          <t>—</t>
        </is>
      </c>
      <c r="D461" s="12" t="inlineStr">
        <is>
          <t>Hors des chapitres du programme</t>
        </is>
      </c>
      <c r="E461" s="12" t="inlineStr">
        <is>
          <t>Propriété</t>
        </is>
      </c>
      <c r="F461" s="13" t="inlineStr">
        <is>
          <t>Norme d'un produit vectoriel</t>
        </is>
      </c>
      <c r="G461" s="12" t="inlineStr">
        <is>
          <t>$\|\vec u\wedge\vec v\|=\|\vec u\|\|\vec v\|\sin\widehat{(\vec u,\vec v)}$ ; aire du parallélogramme $ABCD$ : $\|\overrightarrow{AB}\wedge\overrightarrow{AD}\|$.</t>
        </is>
      </c>
      <c r="H461" s="12" t="inlineStr">
        <is>
          <t>Programme muet : notion non mentionnée. Le produit vectoriel n'apparaît ni dans le programme de mathématiques ni dans celui de physique-chimie (vérifié par recherche).</t>
        </is>
      </c>
      <c r="I461" s="12" t="n">
        <v>71</v>
      </c>
      <c r="J461" s="12" t="inlineStr"/>
      <c r="K461" s="14" t="n"/>
      <c r="L461" s="14" t="n"/>
    </row>
  </sheetData>
  <autoFilter ref="A1:L461"/>
  <dataValidations count="1">
    <dataValidation sqref="K2:K461" showDropDown="0" showInputMessage="0" showErrorMessage="0" allowBlank="1" type="list">
      <formula1>"OK,Passer en noir,Passer en orange,Passer en rouge,Supprimer,Contenu à corriger"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26" customWidth="1" min="3" max="3"/>
    <col width="40" customWidth="1" min="4" max="4"/>
    <col width="60" customWidth="1" min="5" max="5"/>
    <col width="60" customWidth="1" min="6" max="6"/>
    <col width="10" customWidth="1" min="7" max="7"/>
    <col width="8" customWidth="1" min="8" max="8"/>
    <col width="40" customWidth="1" min="9" max="9"/>
    <col width="20" customWidth="1" min="10" max="10"/>
    <col width="30" customWidth="1" min="11" max="11"/>
  </cols>
  <sheetData>
    <row r="1">
      <c r="A1" s="8" t="inlineStr">
        <is>
          <t>ID</t>
        </is>
      </c>
      <c r="B1" s="8" t="inlineStr">
        <is>
          <t>Statut</t>
        </is>
      </c>
      <c r="C1" s="8" t="inlineStr">
        <is>
          <t>Rubrique</t>
        </is>
      </c>
      <c r="D1" s="8" t="inlineStr">
        <is>
          <t>Recto</t>
        </is>
      </c>
      <c r="E1" s="8" t="inlineStr">
        <is>
          <t>Verso</t>
        </is>
      </c>
      <c r="F1" s="8" t="inlineStr">
        <is>
          <t>Justification (programme 2021)</t>
        </is>
      </c>
      <c r="G1" s="8" t="inlineStr">
        <is>
          <t>Fiche d'origine</t>
        </is>
      </c>
      <c r="H1" s="8" t="inlineStr">
        <is>
          <t>Page ouvrage</t>
        </is>
      </c>
      <c r="I1" s="8" t="inlineStr">
        <is>
          <t>Remarque</t>
        </is>
      </c>
      <c r="J1" s="8" t="inlineStr">
        <is>
          <t>Ta décision</t>
        </is>
      </c>
      <c r="K1" s="8" t="inlineStr">
        <is>
          <t>Ton commentaire</t>
        </is>
      </c>
    </row>
    <row r="2">
      <c r="A2" s="9" t="inlineStr">
        <is>
          <t>F001</t>
        </is>
      </c>
      <c r="B2" s="10" t="inlineStr">
        <is>
          <t>Noir – conforme</t>
        </is>
      </c>
      <c r="C2" s="9" t="inlineStr">
        <is>
          <t>Trigonométrie</t>
        </is>
      </c>
      <c r="D2" s="10" t="inlineStr">
        <is>
          <t>$\cos\left(\frac\pi6\right)$</t>
        </is>
      </c>
      <c r="E2" s="9" t="inlineStr">
        <is>
          <t>$\frac{\sqrt3}2$</t>
        </is>
      </c>
      <c r="F2" s="9" t="inlineStr">
        <is>
          <t>Outils 3 : « Définition de cos(θ), sin(θ) et tan(θ). » Les valeurs remarquables ne sont pas citées, mais sont un prérequis du lycée.</t>
        </is>
      </c>
      <c r="G2" s="9" t="inlineStr">
        <is>
          <t>M010</t>
        </is>
      </c>
      <c r="H2" s="9" t="n">
        <v>102</v>
      </c>
      <c r="I2" s="9" t="n"/>
      <c r="J2" s="11" t="n"/>
      <c r="K2" s="11" t="n"/>
    </row>
    <row r="3">
      <c r="A3" s="9" t="inlineStr">
        <is>
          <t>F002</t>
        </is>
      </c>
      <c r="B3" s="10" t="inlineStr">
        <is>
          <t>Noir – conforme</t>
        </is>
      </c>
      <c r="C3" s="9" t="inlineStr">
        <is>
          <t>Trigonométrie</t>
        </is>
      </c>
      <c r="D3" s="10" t="inlineStr">
        <is>
          <t>$\cos\left(\frac\pi4\right)$</t>
        </is>
      </c>
      <c r="E3" s="9" t="inlineStr">
        <is>
          <t>$\frac{\sqrt2}2$</t>
        </is>
      </c>
      <c r="F3" s="9" t="inlineStr">
        <is>
          <t>Outils 3 : « Définition de cos(θ), sin(θ) et tan(θ). » Les valeurs remarquables ne sont pas citées, mais sont un prérequis du lycée.</t>
        </is>
      </c>
      <c r="G3" s="9" t="inlineStr">
        <is>
          <t>M010</t>
        </is>
      </c>
      <c r="H3" s="9" t="n">
        <v>102</v>
      </c>
      <c r="I3" s="9" t="n"/>
      <c r="J3" s="11" t="n"/>
      <c r="K3" s="11" t="n"/>
    </row>
    <row r="4">
      <c r="A4" s="9" t="inlineStr">
        <is>
          <t>F003</t>
        </is>
      </c>
      <c r="B4" s="10" t="inlineStr">
        <is>
          <t>Noir – conforme</t>
        </is>
      </c>
      <c r="C4" s="9" t="inlineStr">
        <is>
          <t>Trigonométrie</t>
        </is>
      </c>
      <c r="D4" s="10" t="inlineStr">
        <is>
          <t>$\cos\left(\frac\pi3\right)$</t>
        </is>
      </c>
      <c r="E4" s="9" t="inlineStr">
        <is>
          <t>$\frac12$</t>
        </is>
      </c>
      <c r="F4" s="9" t="inlineStr">
        <is>
          <t>Outils 3 : « Définition de cos(θ), sin(θ) et tan(θ). » Les valeurs remarquables ne sont pas citées, mais sont un prérequis du lycée.</t>
        </is>
      </c>
      <c r="G4" s="9" t="inlineStr">
        <is>
          <t>M010</t>
        </is>
      </c>
      <c r="H4" s="9" t="n">
        <v>102</v>
      </c>
      <c r="I4" s="9" t="n"/>
      <c r="J4" s="11" t="n"/>
      <c r="K4" s="11" t="n"/>
    </row>
    <row r="5">
      <c r="A5" s="9" t="inlineStr">
        <is>
          <t>F004</t>
        </is>
      </c>
      <c r="B5" s="10" t="inlineStr">
        <is>
          <t>Noir – conforme</t>
        </is>
      </c>
      <c r="C5" s="9" t="inlineStr">
        <is>
          <t>Trigonométrie</t>
        </is>
      </c>
      <c r="D5" s="10" t="inlineStr">
        <is>
          <t>$\sin\left(\frac\pi6\right)$</t>
        </is>
      </c>
      <c r="E5" s="9" t="inlineStr">
        <is>
          <t>$\frac12$</t>
        </is>
      </c>
      <c r="F5" s="9" t="inlineStr">
        <is>
          <t>Outils 3 : « Définition de cos(θ), sin(θ) et tan(θ). » Les valeurs remarquables ne sont pas citées, mais sont un prérequis du lycée.</t>
        </is>
      </c>
      <c r="G5" s="9" t="inlineStr">
        <is>
          <t>M010</t>
        </is>
      </c>
      <c r="H5" s="9" t="n">
        <v>102</v>
      </c>
      <c r="I5" s="9" t="n"/>
      <c r="J5" s="11" t="n"/>
      <c r="K5" s="11" t="n"/>
    </row>
    <row r="6">
      <c r="A6" s="9" t="inlineStr">
        <is>
          <t>F005</t>
        </is>
      </c>
      <c r="B6" s="10" t="inlineStr">
        <is>
          <t>Noir – conforme</t>
        </is>
      </c>
      <c r="C6" s="9" t="inlineStr">
        <is>
          <t>Trigonométrie</t>
        </is>
      </c>
      <c r="D6" s="10" t="inlineStr">
        <is>
          <t>$\sin\left(\frac\pi4\right)$</t>
        </is>
      </c>
      <c r="E6" s="9" t="inlineStr">
        <is>
          <t>$\frac{\sqrt2}2$</t>
        </is>
      </c>
      <c r="F6" s="9" t="inlineStr">
        <is>
          <t>Outils 3 : « Définition de cos(θ), sin(θ) et tan(θ). » Les valeurs remarquables ne sont pas citées, mais sont un prérequis du lycée.</t>
        </is>
      </c>
      <c r="G6" s="9" t="inlineStr">
        <is>
          <t>M010</t>
        </is>
      </c>
      <c r="H6" s="9" t="n">
        <v>102</v>
      </c>
      <c r="I6" s="9" t="n"/>
      <c r="J6" s="11" t="n"/>
      <c r="K6" s="11" t="n"/>
    </row>
    <row r="7">
      <c r="A7" s="9" t="inlineStr">
        <is>
          <t>F006</t>
        </is>
      </c>
      <c r="B7" s="10" t="inlineStr">
        <is>
          <t>Noir – conforme</t>
        </is>
      </c>
      <c r="C7" s="9" t="inlineStr">
        <is>
          <t>Trigonométrie</t>
        </is>
      </c>
      <c r="D7" s="10" t="inlineStr">
        <is>
          <t>$\sin\left(\frac\pi3\right)$</t>
        </is>
      </c>
      <c r="E7" s="9" t="inlineStr">
        <is>
          <t>$\frac{\sqrt3}2$</t>
        </is>
      </c>
      <c r="F7" s="9" t="inlineStr">
        <is>
          <t>Outils 3 : « Définition de cos(θ), sin(θ) et tan(θ). » Les valeurs remarquables ne sont pas citées, mais sont un prérequis du lycée.</t>
        </is>
      </c>
      <c r="G7" s="9" t="inlineStr">
        <is>
          <t>M010</t>
        </is>
      </c>
      <c r="H7" s="9" t="n">
        <v>102</v>
      </c>
      <c r="I7" s="9" t="n"/>
      <c r="J7" s="11" t="n"/>
      <c r="K7" s="11" t="n"/>
    </row>
    <row r="8">
      <c r="A8" s="9" t="inlineStr">
        <is>
          <t>F007</t>
        </is>
      </c>
      <c r="B8" s="10" t="inlineStr">
        <is>
          <t>Noir – conforme</t>
        </is>
      </c>
      <c r="C8" s="9" t="inlineStr">
        <is>
          <t>Trigonométrie</t>
        </is>
      </c>
      <c r="D8" s="10" t="inlineStr">
        <is>
          <t>$\tan\left(\frac\pi6\right)$</t>
        </is>
      </c>
      <c r="E8" s="9" t="inlineStr">
        <is>
          <t>$\frac{\sqrt3}3=\frac1{\sqrt3}$</t>
        </is>
      </c>
      <c r="F8" s="9" t="inlineStr">
        <is>
          <t>Outils 3 : « Définition de cos(θ), sin(θ) et tan(θ). » Les valeurs remarquables ne sont pas citées, mais sont un prérequis du lycée.</t>
        </is>
      </c>
      <c r="G8" s="9" t="inlineStr">
        <is>
          <t>M010</t>
        </is>
      </c>
      <c r="H8" s="9" t="n">
        <v>102</v>
      </c>
      <c r="I8" s="9" t="n"/>
      <c r="J8" s="11" t="n"/>
      <c r="K8" s="11" t="n"/>
    </row>
    <row r="9">
      <c r="A9" s="9" t="inlineStr">
        <is>
          <t>F008</t>
        </is>
      </c>
      <c r="B9" s="10" t="inlineStr">
        <is>
          <t>Noir – conforme</t>
        </is>
      </c>
      <c r="C9" s="9" t="inlineStr">
        <is>
          <t>Trigonométrie</t>
        </is>
      </c>
      <c r="D9" s="10" t="inlineStr">
        <is>
          <t>$\tan\left(\frac\pi4\right)$</t>
        </is>
      </c>
      <c r="E9" s="9" t="inlineStr">
        <is>
          <t>$1$</t>
        </is>
      </c>
      <c r="F9" s="9" t="inlineStr">
        <is>
          <t>Outils 3 : « Définition de cos(θ), sin(θ) et tan(θ). » Les valeurs remarquables ne sont pas citées, mais sont un prérequis du lycée.</t>
        </is>
      </c>
      <c r="G9" s="9" t="inlineStr">
        <is>
          <t>M010</t>
        </is>
      </c>
      <c r="H9" s="9" t="n">
        <v>102</v>
      </c>
      <c r="I9" s="9" t="n"/>
      <c r="J9" s="11" t="n"/>
      <c r="K9" s="11" t="n"/>
    </row>
    <row r="10">
      <c r="A10" s="9" t="inlineStr">
        <is>
          <t>F009</t>
        </is>
      </c>
      <c r="B10" s="10" t="inlineStr">
        <is>
          <t>Noir – conforme</t>
        </is>
      </c>
      <c r="C10" s="9" t="inlineStr">
        <is>
          <t>Trigonométrie</t>
        </is>
      </c>
      <c r="D10" s="10" t="inlineStr">
        <is>
          <t>$\tan\left(\frac\pi3\right)$</t>
        </is>
      </c>
      <c r="E10" s="9" t="inlineStr">
        <is>
          <t>$\sqrt3$</t>
        </is>
      </c>
      <c r="F10" s="9" t="inlineStr">
        <is>
          <t>Outils 3 : « Définition de cos(θ), sin(θ) et tan(θ). » Les valeurs remarquables ne sont pas citées, mais sont un prérequis du lycée.</t>
        </is>
      </c>
      <c r="G10" s="9" t="inlineStr">
        <is>
          <t>M010</t>
        </is>
      </c>
      <c r="H10" s="9" t="n">
        <v>102</v>
      </c>
      <c r="I10" s="9" t="n"/>
      <c r="J10" s="11" t="n"/>
      <c r="K10" s="11" t="n"/>
    </row>
    <row r="11">
      <c r="A11" s="9" t="inlineStr">
        <is>
          <t>F010</t>
        </is>
      </c>
      <c r="B11" s="10" t="inlineStr">
        <is>
          <t>Noir – conforme</t>
        </is>
      </c>
      <c r="C11" s="9" t="inlineStr">
        <is>
          <t>Trigonométrie</t>
        </is>
      </c>
      <c r="D11" s="10" t="inlineStr">
        <is>
          <t>$\cos^2a+\sin^2a$</t>
        </is>
      </c>
      <c r="E11" s="9" t="inlineStr">
        <is>
          <t>$1$</t>
        </is>
      </c>
      <c r="F11" s="9" t="inlineStr">
        <is>
          <t>Outils 3 : formule citée explicitement dans « Formules de trigonométrie ».</t>
        </is>
      </c>
      <c r="G11" s="9" t="inlineStr">
        <is>
          <t>M011</t>
        </is>
      </c>
      <c r="H11" s="9" t="n">
        <v>102</v>
      </c>
      <c r="I11" s="9" t="n"/>
      <c r="J11" s="11" t="n"/>
      <c r="K11" s="11" t="n"/>
    </row>
    <row r="12">
      <c r="A12" s="9" t="inlineStr">
        <is>
          <t>F011</t>
        </is>
      </c>
      <c r="B12" s="10" t="inlineStr">
        <is>
          <t>Noir – conforme</t>
        </is>
      </c>
      <c r="C12" s="9" t="inlineStr">
        <is>
          <t>Trigonométrie</t>
        </is>
      </c>
      <c r="D12" s="10" t="inlineStr">
        <is>
          <t>$\tan a$</t>
        </is>
      </c>
      <c r="E12" s="9" t="inlineStr">
        <is>
          <t>$\dfrac{\sin a}{\cos a}$ (pour $\cos a\neq0$)</t>
        </is>
      </c>
      <c r="F12" s="9" t="inlineStr">
        <is>
          <t>Outils 3 : « Définition de cos(θ), sin(θ) et tan(θ). »</t>
        </is>
      </c>
      <c r="G12" s="9" t="inlineStr">
        <is>
          <t>M011</t>
        </is>
      </c>
      <c r="H12" s="9" t="n">
        <v>102</v>
      </c>
      <c r="I12" s="9" t="n"/>
      <c r="J12" s="11" t="n"/>
      <c r="K12" s="11" t="n"/>
    </row>
    <row r="13">
      <c r="A13" s="12" t="inlineStr">
        <is>
          <t>F012</t>
        </is>
      </c>
      <c r="B13" s="13" t="inlineStr">
        <is>
          <t>Orange – incertain</t>
        </is>
      </c>
      <c r="C13" s="12" t="inlineStr">
        <is>
          <t>Trigonométrie</t>
        </is>
      </c>
      <c r="D13" s="13" t="inlineStr">
        <is>
          <t>$1+\tan^2a$</t>
        </is>
      </c>
      <c r="E13" s="12" t="inlineStr">
        <is>
          <t>$\dfrac1{\cos^2a}$</t>
        </is>
      </c>
      <c r="F13" s="12" t="inlineStr">
        <is>
          <t>Outils 3 : « Les autres formules de trigonométrie ne sont pas des attendus du programme. » Formule non citée, mais liée à la définition de tan ou à sa dérivée (Analyse 7).</t>
        </is>
      </c>
      <c r="G13" s="12" t="inlineStr">
        <is>
          <t>M011</t>
        </is>
      </c>
      <c r="H13" s="12" t="n">
        <v>102</v>
      </c>
      <c r="I13" s="12" t="n"/>
      <c r="J13" s="14" t="n"/>
      <c r="K13" s="14" t="n"/>
    </row>
    <row r="14">
      <c r="A14" s="9" t="inlineStr">
        <is>
          <t>F013</t>
        </is>
      </c>
      <c r="B14" s="10" t="inlineStr">
        <is>
          <t>Noir – conforme</t>
        </is>
      </c>
      <c r="C14" s="9" t="inlineStr">
        <is>
          <t>Trigonométrie</t>
        </is>
      </c>
      <c r="D14" s="10" t="inlineStr">
        <is>
          <t>$\cos(a+b)$</t>
        </is>
      </c>
      <c r="E14" s="9" t="inlineStr">
        <is>
          <t>$\cos a\cos b-\sin a\sin b$</t>
        </is>
      </c>
      <c r="F14" s="9" t="inlineStr">
        <is>
          <t>Outils 3 : formule citée explicitement dans « Formules de trigonométrie ».</t>
        </is>
      </c>
      <c r="G14" s="9" t="inlineStr">
        <is>
          <t>M013</t>
        </is>
      </c>
      <c r="H14" s="9" t="n">
        <v>102</v>
      </c>
      <c r="I14" s="9" t="n"/>
      <c r="J14" s="11" t="n"/>
      <c r="K14" s="11" t="n"/>
    </row>
    <row r="15">
      <c r="A15" s="9" t="inlineStr">
        <is>
          <t>F014</t>
        </is>
      </c>
      <c r="B15" s="10" t="inlineStr">
        <is>
          <t>Noir – conforme</t>
        </is>
      </c>
      <c r="C15" s="9" t="inlineStr">
        <is>
          <t>Trigonométrie</t>
        </is>
      </c>
      <c r="D15" s="10" t="inlineStr">
        <is>
          <t>$\cos(a-b)$</t>
        </is>
      </c>
      <c r="E15" s="9" t="inlineStr">
        <is>
          <t>$\cos a\cos b+\sin a\sin b$</t>
        </is>
      </c>
      <c r="F15" s="9" t="inlineStr">
        <is>
          <t>Outils 3 : formule citée explicitement dans « Formules de trigonométrie ».</t>
        </is>
      </c>
      <c r="G15" s="9" t="inlineStr">
        <is>
          <t>M013</t>
        </is>
      </c>
      <c r="H15" s="9" t="n">
        <v>102</v>
      </c>
      <c r="I15" s="9" t="n"/>
      <c r="J15" s="11" t="n"/>
      <c r="K15" s="11" t="n"/>
    </row>
    <row r="16">
      <c r="A16" s="9" t="inlineStr">
        <is>
          <t>F015</t>
        </is>
      </c>
      <c r="B16" s="10" t="inlineStr">
        <is>
          <t>Noir – conforme</t>
        </is>
      </c>
      <c r="C16" s="9" t="inlineStr">
        <is>
          <t>Trigonométrie</t>
        </is>
      </c>
      <c r="D16" s="10" t="inlineStr">
        <is>
          <t>$\sin(a+b)$</t>
        </is>
      </c>
      <c r="E16" s="9" t="inlineStr">
        <is>
          <t>$\sin a\cos b+\cos a\sin b$</t>
        </is>
      </c>
      <c r="F16" s="9" t="inlineStr">
        <is>
          <t>Outils 3 : formule citée explicitement dans « Formules de trigonométrie ».</t>
        </is>
      </c>
      <c r="G16" s="9" t="inlineStr">
        <is>
          <t>M013</t>
        </is>
      </c>
      <c r="H16" s="9" t="n">
        <v>102</v>
      </c>
      <c r="I16" s="9" t="n"/>
      <c r="J16" s="11" t="n"/>
      <c r="K16" s="11" t="n"/>
    </row>
    <row r="17">
      <c r="A17" s="9" t="inlineStr">
        <is>
          <t>F016</t>
        </is>
      </c>
      <c r="B17" s="10" t="inlineStr">
        <is>
          <t>Noir – conforme</t>
        </is>
      </c>
      <c r="C17" s="9" t="inlineStr">
        <is>
          <t>Trigonométrie</t>
        </is>
      </c>
      <c r="D17" s="10" t="inlineStr">
        <is>
          <t>$\sin(a-b)$</t>
        </is>
      </c>
      <c r="E17" s="9" t="inlineStr">
        <is>
          <t>$\sin a\cos b-\cos a\sin b$</t>
        </is>
      </c>
      <c r="F17" s="9" t="inlineStr">
        <is>
          <t>Outils 3 : formule citée explicitement dans « Formules de trigonométrie ».</t>
        </is>
      </c>
      <c r="G17" s="9" t="inlineStr">
        <is>
          <t>M013</t>
        </is>
      </c>
      <c r="H17" s="9" t="n">
        <v>102</v>
      </c>
      <c r="I17" s="9" t="n"/>
      <c r="J17" s="11" t="n"/>
      <c r="K17" s="11" t="n"/>
    </row>
    <row r="18">
      <c r="A18" s="9" t="inlineStr">
        <is>
          <t>F017</t>
        </is>
      </c>
      <c r="B18" s="10" t="inlineStr">
        <is>
          <t>Noir – conforme</t>
        </is>
      </c>
      <c r="C18" s="9" t="inlineStr">
        <is>
          <t>Trigonométrie</t>
        </is>
      </c>
      <c r="D18" s="10" t="inlineStr">
        <is>
          <t>$\cos 2a$ (trois écritures)</t>
        </is>
      </c>
      <c r="E18" s="9" t="inlineStr">
        <is>
          <t>$\cos^2a-\sin^2a=2\cos^2a-1=1-2\sin^2a$</t>
        </is>
      </c>
      <c r="F18" s="9" t="inlineStr">
        <is>
          <t>Outils 3 : formule citée explicitement dans « Formules de trigonométrie ».</t>
        </is>
      </c>
      <c r="G18" s="9" t="inlineStr">
        <is>
          <t>M015</t>
        </is>
      </c>
      <c r="H18" s="9" t="n">
        <v>102</v>
      </c>
      <c r="I18" s="9" t="n"/>
      <c r="J18" s="11" t="n"/>
      <c r="K18" s="11" t="n"/>
    </row>
    <row r="19">
      <c r="A19" s="9" t="inlineStr">
        <is>
          <t>F018</t>
        </is>
      </c>
      <c r="B19" s="10" t="inlineStr">
        <is>
          <t>Noir – conforme</t>
        </is>
      </c>
      <c r="C19" s="9" t="inlineStr">
        <is>
          <t>Trigonométrie</t>
        </is>
      </c>
      <c r="D19" s="10" t="inlineStr">
        <is>
          <t>$\sin 2a$</t>
        </is>
      </c>
      <c r="E19" s="9" t="inlineStr">
        <is>
          <t>$2\sin a\cos a$</t>
        </is>
      </c>
      <c r="F19" s="9" t="inlineStr">
        <is>
          <t>Outils 3 : formule citée explicitement dans « Formules de trigonométrie ».</t>
        </is>
      </c>
      <c r="G19" s="9" t="inlineStr">
        <is>
          <t>M015</t>
        </is>
      </c>
      <c r="H19" s="9" t="n">
        <v>102</v>
      </c>
      <c r="I19" s="9" t="n"/>
      <c r="J19" s="11" t="n"/>
      <c r="K19" s="11" t="n"/>
    </row>
    <row r="20">
      <c r="A20" s="9" t="inlineStr">
        <is>
          <t>F019</t>
        </is>
      </c>
      <c r="B20" s="10" t="inlineStr">
        <is>
          <t>Noir – conforme</t>
        </is>
      </c>
      <c r="C20" s="9" t="inlineStr">
        <is>
          <t>Trigonométrie</t>
        </is>
      </c>
      <c r="D20" s="10" t="inlineStr">
        <is>
          <t>$\cos(-a)$</t>
        </is>
      </c>
      <c r="E20" s="9" t="inlineStr">
        <is>
          <t>$\cos a$</t>
        </is>
      </c>
      <c r="F20" s="9" t="inlineStr">
        <is>
          <t>Outils 3 : « Formules découlant des symétries de cos, sin et tan. »</t>
        </is>
      </c>
      <c r="G20" s="9" t="inlineStr">
        <is>
          <t>M020</t>
        </is>
      </c>
      <c r="H20" s="9" t="n">
        <v>104</v>
      </c>
      <c r="I20" s="9" t="n"/>
      <c r="J20" s="11" t="n"/>
      <c r="K20" s="11" t="n"/>
    </row>
    <row r="21">
      <c r="A21" s="9" t="inlineStr">
        <is>
          <t>F020</t>
        </is>
      </c>
      <c r="B21" s="10" t="inlineStr">
        <is>
          <t>Noir – conforme</t>
        </is>
      </c>
      <c r="C21" s="9" t="inlineStr">
        <is>
          <t>Trigonométrie</t>
        </is>
      </c>
      <c r="D21" s="10" t="inlineStr">
        <is>
          <t>$\sin(-a)$</t>
        </is>
      </c>
      <c r="E21" s="9" t="inlineStr">
        <is>
          <t>$-\sin a$</t>
        </is>
      </c>
      <c r="F21" s="9" t="inlineStr">
        <is>
          <t>Outils 3 : « Formules découlant des symétries de cos, sin et tan. »</t>
        </is>
      </c>
      <c r="G21" s="9" t="inlineStr">
        <is>
          <t>M020</t>
        </is>
      </c>
      <c r="H21" s="9" t="n">
        <v>104</v>
      </c>
      <c r="I21" s="9" t="n"/>
      <c r="J21" s="11" t="n"/>
      <c r="K21" s="11" t="n"/>
    </row>
    <row r="22">
      <c r="A22" s="9" t="inlineStr">
        <is>
          <t>F021</t>
        </is>
      </c>
      <c r="B22" s="10" t="inlineStr">
        <is>
          <t>Noir – conforme</t>
        </is>
      </c>
      <c r="C22" s="9" t="inlineStr">
        <is>
          <t>Trigonométrie</t>
        </is>
      </c>
      <c r="D22" s="10" t="inlineStr">
        <is>
          <t>$\tan(-a)$</t>
        </is>
      </c>
      <c r="E22" s="9" t="inlineStr">
        <is>
          <t>$-\tan a$</t>
        </is>
      </c>
      <c r="F22" s="9" t="inlineStr">
        <is>
          <t>Outils 3 : « Formules découlant des symétries de cos, sin et tan. »</t>
        </is>
      </c>
      <c r="G22" s="9" t="inlineStr">
        <is>
          <t>M020</t>
        </is>
      </c>
      <c r="H22" s="9" t="n">
        <v>104</v>
      </c>
      <c r="I22" s="9" t="n"/>
      <c r="J22" s="11" t="n"/>
      <c r="K22" s="11" t="n"/>
    </row>
    <row r="23">
      <c r="A23" s="9" t="inlineStr">
        <is>
          <t>F022</t>
        </is>
      </c>
      <c r="B23" s="10" t="inlineStr">
        <is>
          <t>Noir – conforme</t>
        </is>
      </c>
      <c r="C23" s="9" t="inlineStr">
        <is>
          <t>Trigonométrie</t>
        </is>
      </c>
      <c r="D23" s="10" t="inlineStr">
        <is>
          <t>$\cos(\pi-a)$</t>
        </is>
      </c>
      <c r="E23" s="9" t="inlineStr">
        <is>
          <t>$-\cos a$</t>
        </is>
      </c>
      <c r="F23" s="9" t="inlineStr">
        <is>
          <t>Outils 3 : « Formules découlant des symétries de cos, sin et tan. »</t>
        </is>
      </c>
      <c r="G23" s="9" t="inlineStr">
        <is>
          <t>M020</t>
        </is>
      </c>
      <c r="H23" s="9" t="n">
        <v>104</v>
      </c>
      <c r="I23" s="9" t="n"/>
      <c r="J23" s="11" t="n"/>
      <c r="K23" s="11" t="n"/>
    </row>
    <row r="24">
      <c r="A24" s="9" t="inlineStr">
        <is>
          <t>F023</t>
        </is>
      </c>
      <c r="B24" s="10" t="inlineStr">
        <is>
          <t>Noir – conforme</t>
        </is>
      </c>
      <c r="C24" s="9" t="inlineStr">
        <is>
          <t>Trigonométrie</t>
        </is>
      </c>
      <c r="D24" s="10" t="inlineStr">
        <is>
          <t>$\sin(\pi-a)$</t>
        </is>
      </c>
      <c r="E24" s="9" t="inlineStr">
        <is>
          <t>$\sin a$</t>
        </is>
      </c>
      <c r="F24" s="9" t="inlineStr">
        <is>
          <t>Outils 3 : « Formules découlant des symétries de cos, sin et tan. »</t>
        </is>
      </c>
      <c r="G24" s="9" t="inlineStr">
        <is>
          <t>M020</t>
        </is>
      </c>
      <c r="H24" s="9" t="n">
        <v>104</v>
      </c>
      <c r="I24" s="9" t="n"/>
      <c r="J24" s="11" t="n"/>
      <c r="K24" s="11" t="n"/>
    </row>
    <row r="25">
      <c r="A25" s="9" t="inlineStr">
        <is>
          <t>F024</t>
        </is>
      </c>
      <c r="B25" s="10" t="inlineStr">
        <is>
          <t>Noir – conforme</t>
        </is>
      </c>
      <c r="C25" s="9" t="inlineStr">
        <is>
          <t>Trigonométrie</t>
        </is>
      </c>
      <c r="D25" s="10" t="inlineStr">
        <is>
          <t>$\cos(\pi+a)$</t>
        </is>
      </c>
      <c r="E25" s="9" t="inlineStr">
        <is>
          <t>$-\cos a$</t>
        </is>
      </c>
      <c r="F25" s="9" t="inlineStr">
        <is>
          <t>Outils 3 : « Formules découlant des symétries de cos, sin et tan. »</t>
        </is>
      </c>
      <c r="G25" s="9" t="inlineStr">
        <is>
          <t>M020</t>
        </is>
      </c>
      <c r="H25" s="9" t="n">
        <v>104</v>
      </c>
      <c r="I25" s="9" t="n"/>
      <c r="J25" s="11" t="n"/>
      <c r="K25" s="11" t="n"/>
    </row>
    <row r="26">
      <c r="A26" s="9" t="inlineStr">
        <is>
          <t>F025</t>
        </is>
      </c>
      <c r="B26" s="10" t="inlineStr">
        <is>
          <t>Noir – conforme</t>
        </is>
      </c>
      <c r="C26" s="9" t="inlineStr">
        <is>
          <t>Trigonométrie</t>
        </is>
      </c>
      <c r="D26" s="10" t="inlineStr">
        <is>
          <t>$\sin(\pi+a)$</t>
        </is>
      </c>
      <c r="E26" s="9" t="inlineStr">
        <is>
          <t>$-\sin a$</t>
        </is>
      </c>
      <c r="F26" s="9" t="inlineStr">
        <is>
          <t>Outils 3 : « Formules découlant des symétries de cos, sin et tan. »</t>
        </is>
      </c>
      <c r="G26" s="9" t="inlineStr">
        <is>
          <t>M020</t>
        </is>
      </c>
      <c r="H26" s="9" t="n">
        <v>104</v>
      </c>
      <c r="I26" s="9" t="n"/>
      <c r="J26" s="11" t="n"/>
      <c r="K26" s="11" t="n"/>
    </row>
    <row r="27">
      <c r="A27" s="9" t="inlineStr">
        <is>
          <t>F026</t>
        </is>
      </c>
      <c r="B27" s="10" t="inlineStr">
        <is>
          <t>Noir – conforme</t>
        </is>
      </c>
      <c r="C27" s="9" t="inlineStr">
        <is>
          <t>Trigonométrie</t>
        </is>
      </c>
      <c r="D27" s="10" t="inlineStr">
        <is>
          <t>$\tan(\pi+a)$</t>
        </is>
      </c>
      <c r="E27" s="9" t="inlineStr">
        <is>
          <t>$\tan a$</t>
        </is>
      </c>
      <c r="F27" s="9" t="inlineStr">
        <is>
          <t>Outils 3 : « Formules découlant des symétries de cos, sin et tan. »</t>
        </is>
      </c>
      <c r="G27" s="9" t="inlineStr">
        <is>
          <t>M020</t>
        </is>
      </c>
      <c r="H27" s="9" t="n">
        <v>104</v>
      </c>
      <c r="I27" s="9" t="n"/>
      <c r="J27" s="11" t="n"/>
      <c r="K27" s="11" t="n"/>
    </row>
    <row r="28">
      <c r="A28" s="9" t="inlineStr">
        <is>
          <t>F027</t>
        </is>
      </c>
      <c r="B28" s="10" t="inlineStr">
        <is>
          <t>Noir – conforme</t>
        </is>
      </c>
      <c r="C28" s="9" t="inlineStr">
        <is>
          <t>Trigonométrie</t>
        </is>
      </c>
      <c r="D28" s="10" t="inlineStr">
        <is>
          <t>$\cos\left(\frac\pi2-a\right)$</t>
        </is>
      </c>
      <c r="E28" s="9" t="inlineStr">
        <is>
          <t>$\sin a$</t>
        </is>
      </c>
      <c r="F28" s="9" t="inlineStr">
        <is>
          <t>Outils 3 : « Formules découlant des symétries de cos, sin et tan. »</t>
        </is>
      </c>
      <c r="G28" s="9" t="inlineStr">
        <is>
          <t>M020</t>
        </is>
      </c>
      <c r="H28" s="9" t="n">
        <v>104</v>
      </c>
      <c r="I28" s="9" t="n"/>
      <c r="J28" s="11" t="n"/>
      <c r="K28" s="11" t="n"/>
    </row>
    <row r="29">
      <c r="A29" s="9" t="inlineStr">
        <is>
          <t>F028</t>
        </is>
      </c>
      <c r="B29" s="10" t="inlineStr">
        <is>
          <t>Noir – conforme</t>
        </is>
      </c>
      <c r="C29" s="9" t="inlineStr">
        <is>
          <t>Trigonométrie</t>
        </is>
      </c>
      <c r="D29" s="10" t="inlineStr">
        <is>
          <t>$\sin\left(\frac\pi2-a\right)$</t>
        </is>
      </c>
      <c r="E29" s="9" t="inlineStr">
        <is>
          <t>$\cos a$</t>
        </is>
      </c>
      <c r="F29" s="9" t="inlineStr">
        <is>
          <t>Outils 3 : « Formules découlant des symétries de cos, sin et tan. »</t>
        </is>
      </c>
      <c r="G29" s="9" t="inlineStr">
        <is>
          <t>M020</t>
        </is>
      </c>
      <c r="H29" s="9" t="n">
        <v>104</v>
      </c>
      <c r="I29" s="9" t="n"/>
      <c r="J29" s="11" t="n"/>
      <c r="K29" s="11" t="n"/>
    </row>
    <row r="30">
      <c r="A30" s="9" t="inlineStr">
        <is>
          <t>F029</t>
        </is>
      </c>
      <c r="B30" s="10" t="inlineStr">
        <is>
          <t>Noir – conforme</t>
        </is>
      </c>
      <c r="C30" s="9" t="inlineStr">
        <is>
          <t>Trigonométrie</t>
        </is>
      </c>
      <c r="D30" s="10" t="inlineStr">
        <is>
          <t>$\cos\left(\frac\pi2+a\right)$</t>
        </is>
      </c>
      <c r="E30" s="9" t="inlineStr">
        <is>
          <t>$-\sin a$</t>
        </is>
      </c>
      <c r="F30" s="9" t="inlineStr">
        <is>
          <t>Outils 3 : « Formules découlant des symétries de cos, sin et tan. »</t>
        </is>
      </c>
      <c r="G30" s="9" t="inlineStr">
        <is>
          <t>M020</t>
        </is>
      </c>
      <c r="H30" s="9" t="n">
        <v>104</v>
      </c>
      <c r="I30" s="9" t="n"/>
      <c r="J30" s="11" t="n"/>
      <c r="K30" s="11" t="n"/>
    </row>
    <row r="31">
      <c r="A31" s="9" t="inlineStr">
        <is>
          <t>F030</t>
        </is>
      </c>
      <c r="B31" s="10" t="inlineStr">
        <is>
          <t>Noir – conforme</t>
        </is>
      </c>
      <c r="C31" s="9" t="inlineStr">
        <is>
          <t>Trigonométrie</t>
        </is>
      </c>
      <c r="D31" s="10" t="inlineStr">
        <is>
          <t>$\sin\left(\frac\pi2+a\right)$</t>
        </is>
      </c>
      <c r="E31" s="9" t="inlineStr">
        <is>
          <t>$\cos a$</t>
        </is>
      </c>
      <c r="F31" s="9" t="inlineStr">
        <is>
          <t>Outils 3 : « Formules découlant des symétries de cos, sin et tan. »</t>
        </is>
      </c>
      <c r="G31" s="9" t="inlineStr">
        <is>
          <t>M020</t>
        </is>
      </c>
      <c r="H31" s="9" t="n">
        <v>104</v>
      </c>
      <c r="I31" s="9" t="n"/>
      <c r="J31" s="11" t="n"/>
      <c r="K31" s="11" t="n"/>
    </row>
    <row r="32">
      <c r="A32" s="9" t="inlineStr">
        <is>
          <t>F031</t>
        </is>
      </c>
      <c r="B32" s="10" t="inlineStr">
        <is>
          <t>Noir – conforme</t>
        </is>
      </c>
      <c r="C32" s="9" t="inlineStr">
        <is>
          <t>Primitives usuelles</t>
        </is>
      </c>
      <c r="D32" s="10" t="inlineStr">
        <is>
          <t>Primitive de $t\mapsto t^\alpha$ ($\alpha\neq-1$)</t>
        </is>
      </c>
      <c r="E32" s="9" t="inlineStr">
        <is>
          <t>$\dfrac{t^{\alpha+1}}{\alpha+1}$</t>
        </is>
      </c>
      <c r="F32" s="9" t="inlineStr">
        <is>
          <t>Analyse 3 : « Primitives de u′eᵘ, u′uⁿ, u′/u, u′/√u, u′ sin u, u′ cos u. »</t>
        </is>
      </c>
      <c r="G32" s="9" t="inlineStr">
        <is>
          <t>M068</t>
        </is>
      </c>
      <c r="H32" s="9" t="n">
        <v>98</v>
      </c>
      <c r="I32" s="9" t="n"/>
      <c r="J32" s="11" t="n"/>
      <c r="K32" s="11" t="n"/>
    </row>
    <row r="33">
      <c r="A33" s="9" t="inlineStr">
        <is>
          <t>F032</t>
        </is>
      </c>
      <c r="B33" s="10" t="inlineStr">
        <is>
          <t>Noir – conforme</t>
        </is>
      </c>
      <c r="C33" s="9" t="inlineStr">
        <is>
          <t>Primitives usuelles</t>
        </is>
      </c>
      <c r="D33" s="10" t="inlineStr">
        <is>
          <t>Primitive de $t\mapsto \dfrac1t$</t>
        </is>
      </c>
      <c r="E33" s="9" t="inlineStr">
        <is>
          <t>$\ln|t|$ (sur un intervalle ne contenant pas $0$)</t>
        </is>
      </c>
      <c r="F33" s="9" t="inlineStr">
        <is>
          <t>Analyse 3 : « Primitives de u′eᵘ, u′uⁿ, u′/u, u′/√u, u′ sin u, u′ cos u. »</t>
        </is>
      </c>
      <c r="G33" s="9" t="inlineStr">
        <is>
          <t>M068</t>
        </is>
      </c>
      <c r="H33" s="9" t="n">
        <v>98</v>
      </c>
      <c r="I33" s="9" t="n"/>
      <c r="J33" s="11" t="n"/>
      <c r="K33" s="11" t="n"/>
    </row>
    <row r="34">
      <c r="A34" s="9" t="inlineStr">
        <is>
          <t>F033</t>
        </is>
      </c>
      <c r="B34" s="10" t="inlineStr">
        <is>
          <t>Noir – conforme</t>
        </is>
      </c>
      <c r="C34" s="9" t="inlineStr">
        <is>
          <t>Primitives usuelles</t>
        </is>
      </c>
      <c r="D34" s="10" t="inlineStr">
        <is>
          <t>Primitive de $t\mapsto e^{mt}$ ($m\neq0$)</t>
        </is>
      </c>
      <c r="E34" s="9" t="inlineStr">
        <is>
          <t>$\dfrac1m\,e^{mt}$</t>
        </is>
      </c>
      <c r="F34" s="9" t="inlineStr">
        <is>
          <t>Analyse 3 : « Primitives de u′eᵘ, u′uⁿ, u′/u, u′/√u, u′ sin u, u′ cos u. »</t>
        </is>
      </c>
      <c r="G34" s="9" t="inlineStr">
        <is>
          <t>M068</t>
        </is>
      </c>
      <c r="H34" s="9" t="n">
        <v>98</v>
      </c>
      <c r="I34" s="9" t="inlineStr">
        <is>
          <t>L'ouvrage prend m complexe non nul ; le programme ne parle que de u′eᵘ.</t>
        </is>
      </c>
      <c r="J34" s="11" t="n"/>
      <c r="K34" s="11" t="n"/>
    </row>
    <row r="35">
      <c r="A35" s="12" t="inlineStr">
        <is>
          <t>F034</t>
        </is>
      </c>
      <c r="B35" s="13" t="inlineStr">
        <is>
          <t>Orange – incertain</t>
        </is>
      </c>
      <c r="C35" s="12" t="inlineStr">
        <is>
          <t>Primitives usuelles</t>
        </is>
      </c>
      <c r="D35" s="13" t="inlineStr">
        <is>
          <t>Primitive de $t\mapsto a^t$ ($a&gt;0$, $a\neq1$)</t>
        </is>
      </c>
      <c r="E35" s="12" t="inlineStr">
        <is>
          <t>$\dfrac{a^t}{\ln a}$</t>
        </is>
      </c>
      <c r="F35" s="12" t="inlineStr">
        <is>
          <t>Analyse 3 : primitive non citée dans la liste du programme (u′eᵘ, u′uⁿ, u′/u, u′/√u, u′ sin u, u′ cos u). Se déduit de aᵗ = e^{t ln a}.</t>
        </is>
      </c>
      <c r="G35" s="12" t="inlineStr">
        <is>
          <t>M068</t>
        </is>
      </c>
      <c r="H35" s="12" t="n">
        <v>98</v>
      </c>
      <c r="I35" s="12" t="n"/>
      <c r="J35" s="14" t="n"/>
      <c r="K35" s="14" t="n"/>
    </row>
    <row r="36">
      <c r="A36" s="9" t="inlineStr">
        <is>
          <t>F035</t>
        </is>
      </c>
      <c r="B36" s="10" t="inlineStr">
        <is>
          <t>Noir – conforme</t>
        </is>
      </c>
      <c r="C36" s="9" t="inlineStr">
        <is>
          <t>Primitives usuelles</t>
        </is>
      </c>
      <c r="D36" s="10" t="inlineStr">
        <is>
          <t>Primitive de $t\mapsto \ln t$</t>
        </is>
      </c>
      <c r="E36" s="9" t="inlineStr">
        <is>
          <t>$t\ln t-t$</t>
        </is>
      </c>
      <c r="F36" s="9" t="inlineStr">
        <is>
          <t>Analyse 3 : « On remarquera que x ↦ x ln(x) − x est une primitive de ln. »</t>
        </is>
      </c>
      <c r="G36" s="9" t="n"/>
      <c r="H36" s="9" t="n"/>
      <c r="I36" s="9" t="inlineStr">
        <is>
          <t>Carte ajoutée : absente de l'ouvrage, citée par le programme.</t>
        </is>
      </c>
      <c r="J36" s="11" t="n"/>
      <c r="K36" s="11" t="n"/>
    </row>
    <row r="37">
      <c r="A37" s="9" t="inlineStr">
        <is>
          <t>F036</t>
        </is>
      </c>
      <c r="B37" s="10" t="inlineStr">
        <is>
          <t>Noir – conforme</t>
        </is>
      </c>
      <c r="C37" s="9" t="inlineStr">
        <is>
          <t>Primitives usuelles</t>
        </is>
      </c>
      <c r="D37" s="10" t="inlineStr">
        <is>
          <t>Primitive de $t\mapsto \cos t$</t>
        </is>
      </c>
      <c r="E37" s="9" t="inlineStr">
        <is>
          <t>$\sin t$</t>
        </is>
      </c>
      <c r="F37" s="9" t="inlineStr">
        <is>
          <t>Analyse 3 : « Primitives de u′eᵘ, u′uⁿ, u′/u, u′/√u, u′ sin u, u′ cos u. »</t>
        </is>
      </c>
      <c r="G37" s="9" t="inlineStr">
        <is>
          <t>M069</t>
        </is>
      </c>
      <c r="H37" s="9" t="n">
        <v>98</v>
      </c>
      <c r="I37" s="9" t="n"/>
      <c r="J37" s="11" t="n"/>
      <c r="K37" s="11" t="n"/>
    </row>
    <row r="38">
      <c r="A38" s="9" t="inlineStr">
        <is>
          <t>F037</t>
        </is>
      </c>
      <c r="B38" s="10" t="inlineStr">
        <is>
          <t>Noir – conforme</t>
        </is>
      </c>
      <c r="C38" s="9" t="inlineStr">
        <is>
          <t>Primitives usuelles</t>
        </is>
      </c>
      <c r="D38" s="10" t="inlineStr">
        <is>
          <t>Primitive de $t\mapsto \sin t$</t>
        </is>
      </c>
      <c r="E38" s="9" t="inlineStr">
        <is>
          <t>$-\cos t$</t>
        </is>
      </c>
      <c r="F38" s="9" t="inlineStr">
        <is>
          <t>Analyse 3 : « Primitives de u′eᵘ, u′uⁿ, u′/u, u′/√u, u′ sin u, u′ cos u. »</t>
        </is>
      </c>
      <c r="G38" s="9" t="inlineStr">
        <is>
          <t>M069</t>
        </is>
      </c>
      <c r="H38" s="9" t="n">
        <v>98</v>
      </c>
      <c r="I38" s="9" t="n"/>
      <c r="J38" s="11" t="n"/>
      <c r="K38" s="11" t="n"/>
    </row>
    <row r="39">
      <c r="A39" s="12" t="inlineStr">
        <is>
          <t>F038</t>
        </is>
      </c>
      <c r="B39" s="13" t="inlineStr">
        <is>
          <t>Orange – incertain</t>
        </is>
      </c>
      <c r="C39" s="12" t="inlineStr">
        <is>
          <t>Primitives usuelles</t>
        </is>
      </c>
      <c r="D39" s="13" t="inlineStr">
        <is>
          <t>Primitive de $t\mapsto \dfrac1{\cos^2t}$</t>
        </is>
      </c>
      <c r="E39" s="12" t="inlineStr">
        <is>
          <t>$\tan t$</t>
        </is>
      </c>
      <c r="F39" s="12" t="inlineStr">
        <is>
          <t>Analyse 3 : primitive non citée dans la liste du programme (u′eᵘ, u′uⁿ, u′/u, u′/√u, u′ sin u, u′ cos u). Se déduit de la dérivée de tan.</t>
        </is>
      </c>
      <c r="G39" s="12" t="inlineStr">
        <is>
          <t>M069</t>
        </is>
      </c>
      <c r="H39" s="12" t="n">
        <v>98</v>
      </c>
      <c r="I39" s="12" t="n"/>
      <c r="J39" s="14" t="n"/>
      <c r="K39" s="14" t="n"/>
    </row>
    <row r="40">
      <c r="A40" s="12" t="inlineStr">
        <is>
          <t>F039</t>
        </is>
      </c>
      <c r="B40" s="13" t="inlineStr">
        <is>
          <t>Orange – incertain</t>
        </is>
      </c>
      <c r="C40" s="12" t="inlineStr">
        <is>
          <t>Primitives usuelles</t>
        </is>
      </c>
      <c r="D40" s="13" t="inlineStr">
        <is>
          <t>Primitive de $t\mapsto \tan t$</t>
        </is>
      </c>
      <c r="E40" s="12" t="inlineStr">
        <is>
          <t>$-\ln|\cos t|$</t>
        </is>
      </c>
      <c r="F40" s="12" t="inlineStr">
        <is>
          <t>Analyse 3 : primitive non citée dans la liste du programme (u′eᵘ, u′uⁿ, u′/u, u′/√u, u′ sin u, u′ cos u). Cas particulier de u′/u (u = cos).</t>
        </is>
      </c>
      <c r="G40" s="12" t="inlineStr">
        <is>
          <t>M069</t>
        </is>
      </c>
      <c r="H40" s="12" t="n">
        <v>98</v>
      </c>
      <c r="I40" s="12" t="n"/>
      <c r="J40" s="14" t="n"/>
      <c r="K40" s="14" t="n"/>
    </row>
    <row r="41">
      <c r="A41" s="12" t="inlineStr">
        <is>
          <t>F040</t>
        </is>
      </c>
      <c r="B41" s="13" t="inlineStr">
        <is>
          <t>Orange – incertain</t>
        </is>
      </c>
      <c r="C41" s="12" t="inlineStr">
        <is>
          <t>Primitives usuelles</t>
        </is>
      </c>
      <c r="D41" s="13" t="inlineStr">
        <is>
          <t>Primitive de $t\mapsto \dfrac1{\cos t}$</t>
        </is>
      </c>
      <c r="E41" s="12" t="inlineStr">
        <is>
          <t>$\ln\left|\tan\left(\dfrac t2+\dfrac\pi4\right)\right|$</t>
        </is>
      </c>
      <c r="F41" s="12" t="inlineStr">
        <is>
          <t>Analyse 3 : primitive non citée dans la liste du programme (u′eᵘ, u′uⁿ, u′/u, u′/√u, u′ sin u, u′ cos u).</t>
        </is>
      </c>
      <c r="G41" s="12" t="inlineStr">
        <is>
          <t>M070</t>
        </is>
      </c>
      <c r="H41" s="12" t="n">
        <v>98</v>
      </c>
      <c r="I41" s="12" t="n"/>
      <c r="J41" s="14" t="n"/>
      <c r="K41" s="14" t="n"/>
    </row>
    <row r="42">
      <c r="A42" s="12" t="inlineStr">
        <is>
          <t>F041</t>
        </is>
      </c>
      <c r="B42" s="13" t="inlineStr">
        <is>
          <t>Orange – incertain</t>
        </is>
      </c>
      <c r="C42" s="12" t="inlineStr">
        <is>
          <t>Primitives usuelles</t>
        </is>
      </c>
      <c r="D42" s="13" t="inlineStr">
        <is>
          <t>Primitive de $t\mapsto \dfrac1{\sin t}$</t>
        </is>
      </c>
      <c r="E42" s="12" t="inlineStr">
        <is>
          <t>$\ln\left|\tan\dfrac t2\right|$</t>
        </is>
      </c>
      <c r="F42" s="12" t="inlineStr">
        <is>
          <t>Analyse 3 : primitive non citée dans la liste du programme (u′eᵘ, u′uⁿ, u′/u, u′/√u, u′ sin u, u′ cos u).</t>
        </is>
      </c>
      <c r="G42" s="12" t="inlineStr">
        <is>
          <t>M070</t>
        </is>
      </c>
      <c r="H42" s="12" t="n">
        <v>98</v>
      </c>
      <c r="I42" s="12" t="n"/>
      <c r="J42" s="14" t="n"/>
      <c r="K42" s="14" t="n"/>
    </row>
    <row r="43">
      <c r="A43" s="12" t="inlineStr">
        <is>
          <t>F042</t>
        </is>
      </c>
      <c r="B43" s="13" t="inlineStr">
        <is>
          <t>Orange – incertain</t>
        </is>
      </c>
      <c r="C43" s="12" t="inlineStr">
        <is>
          <t>Primitives usuelles</t>
        </is>
      </c>
      <c r="D43" s="13" t="inlineStr">
        <is>
          <t>Primitive de $t\mapsto \dfrac1{\sin^2t}$</t>
        </is>
      </c>
      <c r="E43" s="12" t="inlineStr">
        <is>
          <t>$-\dfrac{\cos t}{\sin t}$</t>
        </is>
      </c>
      <c r="F43" s="12" t="inlineStr">
        <is>
          <t>Analyse 3 : primitive non citée dans la liste du programme (u′eᵘ, u′uⁿ, u′/u, u′/√u, u′ sin u, u′ cos u).</t>
        </is>
      </c>
      <c r="G43" s="12" t="inlineStr">
        <is>
          <t>M070</t>
        </is>
      </c>
      <c r="H43" s="12" t="n">
        <v>98</v>
      </c>
      <c r="I43" s="12" t="inlineStr">
        <is>
          <t>L'ouvrage écrit −cot t ; la cotangente n'est pas au programme, d'où l'écriture cos/sin.</t>
        </is>
      </c>
      <c r="J43" s="14" t="n"/>
      <c r="K43" s="14" t="n"/>
    </row>
    <row r="44">
      <c r="A44" s="12" t="inlineStr">
        <is>
          <t>F043</t>
        </is>
      </c>
      <c r="B44" s="13" t="inlineStr">
        <is>
          <t>Orange – incertain</t>
        </is>
      </c>
      <c r="C44" s="12" t="inlineStr">
        <is>
          <t>Primitives usuelles</t>
        </is>
      </c>
      <c r="D44" s="13" t="inlineStr">
        <is>
          <t>Primitive de $t\mapsto \dfrac{\cos t}{\sin t}$</t>
        </is>
      </c>
      <c r="E44" s="12" t="inlineStr">
        <is>
          <t>$\ln|\sin t|$</t>
        </is>
      </c>
      <c r="F44" s="12" t="inlineStr">
        <is>
          <t>Analyse 3 : primitive non citée dans la liste du programme (u′eᵘ, u′uⁿ, u′/u, u′/√u, u′ sin u, u′ cos u). Cas particulier de u′/u (u = sin).</t>
        </is>
      </c>
      <c r="G44" s="12" t="inlineStr">
        <is>
          <t>M070</t>
        </is>
      </c>
      <c r="H44" s="12" t="n">
        <v>98</v>
      </c>
      <c r="I44" s="12" t="inlineStr">
        <is>
          <t>L'ouvrage écrit cot t ; la cotangente n'est pas au programme.</t>
        </is>
      </c>
      <c r="J44" s="14" t="n"/>
      <c r="K44" s="14" t="n"/>
    </row>
    <row r="45">
      <c r="A45" s="9" t="inlineStr">
        <is>
          <t>F044</t>
        </is>
      </c>
      <c r="B45" s="10" t="inlineStr">
        <is>
          <t>Noir – conforme</t>
        </is>
      </c>
      <c r="C45" s="9" t="inlineStr">
        <is>
          <t>Primitives usuelles</t>
        </is>
      </c>
      <c r="D45" s="10" t="inlineStr">
        <is>
          <t>Primitive de $t\mapsto \dfrac1{t^2+a^2}$ ($a\neq0$)</t>
        </is>
      </c>
      <c r="E45" s="9" t="inlineStr">
        <is>
          <t>$\dfrac1a\arctan\dfrac ta$</t>
        </is>
      </c>
      <c r="F45" s="9" t="inlineStr">
        <is>
          <t>Analyse 7 : « Dérivée de la fonction arctan. » La primitive de 1/(1+t²) en découle directement.</t>
        </is>
      </c>
      <c r="G45" s="9" t="inlineStr">
        <is>
          <t>M228</t>
        </is>
      </c>
      <c r="H45" s="9" t="n">
        <v>99</v>
      </c>
      <c r="I45" s="9" t="n"/>
      <c r="J45" s="11" t="n"/>
      <c r="K45" s="11" t="n"/>
    </row>
    <row r="46">
      <c r="A46" s="12" t="inlineStr">
        <is>
          <t>F045</t>
        </is>
      </c>
      <c r="B46" s="13" t="inlineStr">
        <is>
          <t>Orange – incertain</t>
        </is>
      </c>
      <c r="C46" s="12" t="inlineStr">
        <is>
          <t>Primitives usuelles</t>
        </is>
      </c>
      <c r="D46" s="13" t="inlineStr">
        <is>
          <t>Primitive de $t\mapsto \dfrac1{\sqrt{a^2-t^2}}$ sur $]-|a|,|a|[$</t>
        </is>
      </c>
      <c r="E46" s="12" t="inlineStr">
        <is>
          <t>$\arcsin\dfrac t{|a|}$</t>
        </is>
      </c>
      <c r="F46" s="12" t="inlineStr">
        <is>
          <t>Analyse 3 : primitive non citée dans la liste du programme (u′eᵘ, u′uⁿ, u′/u, u′/√u, u′ sin u, u′ cos u). La construction d'arcsin n'est pas un attendu (Outils 3).</t>
        </is>
      </c>
      <c r="G46" s="12" t="inlineStr">
        <is>
          <t>M071</t>
        </is>
      </c>
      <c r="H46" s="12" t="n">
        <v>99</v>
      </c>
      <c r="I46" s="12" t="n"/>
      <c r="J46" s="14" t="n"/>
      <c r="K46" s="14" t="n"/>
    </row>
    <row r="47">
      <c r="A47" s="12" t="inlineStr">
        <is>
          <t>F046</t>
        </is>
      </c>
      <c r="B47" s="13" t="inlineStr">
        <is>
          <t>Orange – incertain</t>
        </is>
      </c>
      <c r="C47" s="12" t="inlineStr">
        <is>
          <t>Primitives usuelles</t>
        </is>
      </c>
      <c r="D47" s="13" t="inlineStr">
        <is>
          <t>Primitive de $t\mapsto \dfrac1{\sqrt{t^2+b}}$</t>
        </is>
      </c>
      <c r="E47" s="12" t="inlineStr">
        <is>
          <t>$\ln\left|t+\sqrt{t^2+b}\right|$</t>
        </is>
      </c>
      <c r="F47" s="12" t="inlineStr">
        <is>
          <t>Analyse 3 : primitive non citée dans la liste du programme (u′eᵘ, u′uⁿ, u′/u, u′/√u, u′ sin u, u′ cos u).</t>
        </is>
      </c>
      <c r="G47" s="12" t="inlineStr">
        <is>
          <t>M071</t>
        </is>
      </c>
      <c r="H47" s="12" t="n">
        <v>99</v>
      </c>
      <c r="I47" s="12" t="n"/>
      <c r="J47" s="14" t="n"/>
      <c r="K47" s="14" t="n"/>
    </row>
    <row r="48">
      <c r="A48" s="12" t="inlineStr">
        <is>
          <t>F047</t>
        </is>
      </c>
      <c r="B48" s="13" t="inlineStr">
        <is>
          <t>Orange – incertain</t>
        </is>
      </c>
      <c r="C48" s="12" t="inlineStr">
        <is>
          <t>Primitives usuelles</t>
        </is>
      </c>
      <c r="D48" s="13" t="inlineStr">
        <is>
          <t>Primitive de $t\mapsto \dfrac1{t^2-a^2}$ ($a\neq0$)</t>
        </is>
      </c>
      <c r="E48" s="12" t="inlineStr">
        <is>
          <t>$\dfrac1{2a}\ln\left|\dfrac{t-a}{t+a}\right|$</t>
        </is>
      </c>
      <c r="F48" s="12" t="inlineStr">
        <is>
          <t>Analyse 3 : primitive non citée dans la liste du programme (u′eᵘ, u′uⁿ, u′/u, u′/√u, u′ sin u, u′ cos u). Se retrouve par décomposition en éléments simples.</t>
        </is>
      </c>
      <c r="G48" s="12" t="inlineStr">
        <is>
          <t>M071</t>
        </is>
      </c>
      <c r="H48" s="12" t="n">
        <v>99</v>
      </c>
      <c r="I48" s="12" t="n"/>
      <c r="J48" s="14" t="n"/>
      <c r="K48" s="14" t="n"/>
    </row>
    <row r="49">
      <c r="A49" s="9" t="inlineStr">
        <is>
          <t>F048</t>
        </is>
      </c>
      <c r="B49" s="10" t="inlineStr">
        <is>
          <t>Noir – conforme</t>
        </is>
      </c>
      <c r="C49" s="9" t="inlineStr">
        <is>
          <t>Développements limités usuels en 0</t>
        </is>
      </c>
      <c r="D49" s="10" t="inlineStr">
        <is>
          <t>DL de $e^x$ en $0$ à l'ordre $n$</t>
        </is>
      </c>
      <c r="E49" s="9" t="inlineStr">
        <is>
          <t>$\displaystyle\sum_{k=0}^n\frac{x^k}{k!}+o(x^n)=1+x+\frac{x^2}{2}+\dots+\frac{x^n}{n!}+o(x^n)$</t>
        </is>
      </c>
      <c r="F49" s="9" t="inlineStr">
        <is>
          <t>Analyse 9 : « Développements limités usuels au voisinage de 0 : exp, cos, sin, x ↦ 1/(1+x), x ↦ ln(1+x), x ↦ (1+x)^α. »</t>
        </is>
      </c>
      <c r="G49" s="9" t="inlineStr">
        <is>
          <t>M258</t>
        </is>
      </c>
      <c r="H49" s="9" t="n">
        <v>100</v>
      </c>
      <c r="I49" s="9" t="n"/>
      <c r="J49" s="11" t="n"/>
      <c r="K49" s="11" t="n"/>
    </row>
    <row r="50">
      <c r="A50" s="9" t="inlineStr">
        <is>
          <t>F049</t>
        </is>
      </c>
      <c r="B50" s="10" t="inlineStr">
        <is>
          <t>Noir – conforme</t>
        </is>
      </c>
      <c r="C50" s="9" t="inlineStr">
        <is>
          <t>Développements limités usuels en 0</t>
        </is>
      </c>
      <c r="D50" s="10" t="inlineStr">
        <is>
          <t>DL de $\cos x$ en $0$ à l'ordre $2n+1$</t>
        </is>
      </c>
      <c r="E50" s="9" t="inlineStr">
        <is>
          <t>$\displaystyle\sum_{k=0}^n(-1)^k\frac{x^{2k}}{(2k)!}+o(x^{2n+1})=1-\frac{x^2}2+\frac{x^4}{24}-\dots$</t>
        </is>
      </c>
      <c r="F50" s="9" t="inlineStr">
        <is>
          <t>Analyse 9 : « Développements limités usuels au voisinage de 0 : exp, cos, sin, x ↦ 1/(1+x), x ↦ ln(1+x), x ↦ (1+x)^α. »</t>
        </is>
      </c>
      <c r="G50" s="9" t="inlineStr">
        <is>
          <t>M259</t>
        </is>
      </c>
      <c r="H50" s="9" t="n">
        <v>100</v>
      </c>
      <c r="I50" s="9" t="n"/>
      <c r="J50" s="11" t="n"/>
      <c r="K50" s="11" t="n"/>
    </row>
    <row r="51">
      <c r="A51" s="9" t="inlineStr">
        <is>
          <t>F050</t>
        </is>
      </c>
      <c r="B51" s="10" t="inlineStr">
        <is>
          <t>Noir – conforme</t>
        </is>
      </c>
      <c r="C51" s="9" t="inlineStr">
        <is>
          <t>Développements limités usuels en 0</t>
        </is>
      </c>
      <c r="D51" s="10" t="inlineStr">
        <is>
          <t>DL de $\sin x$ en $0$ à l'ordre $2n+2$</t>
        </is>
      </c>
      <c r="E51" s="9" t="inlineStr">
        <is>
          <t>$\displaystyle\sum_{k=0}^n(-1)^k\frac{x^{2k+1}}{(2k+1)!}+o(x^{2n+2})=x-\frac{x^3}6+\dots$</t>
        </is>
      </c>
      <c r="F51" s="9" t="inlineStr">
        <is>
          <t>Analyse 9 : « Développements limités usuels au voisinage de 0 : exp, cos, sin, x ↦ 1/(1+x), x ↦ ln(1+x), x ↦ (1+x)^α. »</t>
        </is>
      </c>
      <c r="G51" s="9" t="inlineStr">
        <is>
          <t>M259</t>
        </is>
      </c>
      <c r="H51" s="9" t="n">
        <v>100</v>
      </c>
      <c r="I51" s="9" t="n"/>
      <c r="J51" s="11" t="n"/>
      <c r="K51" s="11" t="n"/>
    </row>
    <row r="52">
      <c r="A52" s="9" t="inlineStr">
        <is>
          <t>F051</t>
        </is>
      </c>
      <c r="B52" s="10" t="inlineStr">
        <is>
          <t>Noir – conforme</t>
        </is>
      </c>
      <c r="C52" s="9" t="inlineStr">
        <is>
          <t>Développements limités usuels en 0</t>
        </is>
      </c>
      <c r="D52" s="10" t="inlineStr">
        <is>
          <t>DL de $\dfrac1{1+x}$ en $0$ à l'ordre $n$</t>
        </is>
      </c>
      <c r="E52" s="9" t="inlineStr">
        <is>
          <t>$\displaystyle\sum_{k=0}^n(-1)^kx^k+o(x^n)=1-x+x^2-\dots+(-1)^nx^n+o(x^n)$</t>
        </is>
      </c>
      <c r="F52" s="9" t="inlineStr">
        <is>
          <t>Analyse 9 : « Développements limités usuels au voisinage de 0 : exp, cos, sin, x ↦ 1/(1+x), x ↦ ln(1+x), x ↦ (1+x)^α. »</t>
        </is>
      </c>
      <c r="G52" s="9" t="n"/>
      <c r="H52" s="9" t="n"/>
      <c r="I52" s="9" t="inlineStr">
        <is>
          <t>Carte ajoutée : l'ouvrage donne 1/(1−x), le programme cite 1/(1+x).</t>
        </is>
      </c>
      <c r="J52" s="11" t="n"/>
      <c r="K52" s="11" t="n"/>
    </row>
    <row r="53">
      <c r="A53" s="9" t="inlineStr">
        <is>
          <t>F052</t>
        </is>
      </c>
      <c r="B53" s="10" t="inlineStr">
        <is>
          <t>Noir – conforme</t>
        </is>
      </c>
      <c r="C53" s="9" t="inlineStr">
        <is>
          <t>Développements limités usuels en 0</t>
        </is>
      </c>
      <c r="D53" s="10" t="inlineStr">
        <is>
          <t>DL de $\dfrac1{1-x}$ en $0$ à l'ordre $n$</t>
        </is>
      </c>
      <c r="E53" s="9" t="inlineStr">
        <is>
          <t>$\displaystyle\sum_{k=0}^nx^k+o(x^n)=1+x+x^2+\dots+x^n+o(x^n)$</t>
        </is>
      </c>
      <c r="F53" s="9" t="inlineStr">
        <is>
          <t>Analyse 9 : « Développements limités usuels au voisinage de 0 : exp, cos, sin, x ↦ 1/(1+x), x ↦ ln(1+x), x ↦ (1+x)^α. » (1/(1−x) s'en déduit en changeant x en −x.)</t>
        </is>
      </c>
      <c r="G53" s="9" t="inlineStr">
        <is>
          <t>M257</t>
        </is>
      </c>
      <c r="H53" s="9" t="n">
        <v>100</v>
      </c>
      <c r="I53" s="9" t="n"/>
      <c r="J53" s="11" t="n"/>
      <c r="K53" s="11" t="n"/>
    </row>
    <row r="54">
      <c r="A54" s="9" t="inlineStr">
        <is>
          <t>F053</t>
        </is>
      </c>
      <c r="B54" s="10" t="inlineStr">
        <is>
          <t>Noir – conforme</t>
        </is>
      </c>
      <c r="C54" s="9" t="inlineStr">
        <is>
          <t>Développements limités usuels en 0</t>
        </is>
      </c>
      <c r="D54" s="10" t="inlineStr">
        <is>
          <t>DL de $\ln(1+x)$ en $0$ à l'ordre $n$</t>
        </is>
      </c>
      <c r="E54" s="9" t="inlineStr">
        <is>
          <t>$\displaystyle\sum_{k=1}^n(-1)^{k+1}\frac{x^k}k+o(x^n)=x-\frac{x^2}2+\frac{x^3}3-\dots$</t>
        </is>
      </c>
      <c r="F54" s="9" t="inlineStr">
        <is>
          <t>Analyse 9 : « Développements limités usuels au voisinage de 0 : exp, cos, sin, x ↦ 1/(1+x), x ↦ ln(1+x), x ↦ (1+x)^α. »</t>
        </is>
      </c>
      <c r="G54" s="9" t="inlineStr">
        <is>
          <t>M258</t>
        </is>
      </c>
      <c r="H54" s="9" t="n">
        <v>100</v>
      </c>
      <c r="I54" s="9" t="n"/>
      <c r="J54" s="11" t="n"/>
      <c r="K54" s="11" t="n"/>
    </row>
    <row r="55">
      <c r="A55" s="12" t="inlineStr">
        <is>
          <t>F054</t>
        </is>
      </c>
      <c r="B55" s="13" t="inlineStr">
        <is>
          <t>Orange – incertain</t>
        </is>
      </c>
      <c r="C55" s="12" t="inlineStr">
        <is>
          <t>Développements limités usuels en 0</t>
        </is>
      </c>
      <c r="D55" s="13" t="inlineStr">
        <is>
          <t>DL de $\ln(1-x)$ en $0$ à l'ordre $n$</t>
        </is>
      </c>
      <c r="E55" s="12" t="inlineStr">
        <is>
          <t>$\displaystyle-\sum_{k=1}^n\frac{x^k}k+o(x^n)=-x-\frac{x^2}2-\frac{x^3}3-\dots$</t>
        </is>
      </c>
      <c r="F55" s="12" t="inlineStr">
        <is>
          <t>Analyse 9 : DL non cité dans la liste des DL usuels (exp, cos, sin, 1/(1+x), ln(1+x), (1+x)^α) ; il s'en déduit.</t>
        </is>
      </c>
      <c r="G55" s="12" t="inlineStr">
        <is>
          <t>M258</t>
        </is>
      </c>
      <c r="H55" s="12" t="n">
        <v>100</v>
      </c>
      <c r="I55" s="12" t="n"/>
      <c r="J55" s="14" t="n"/>
      <c r="K55" s="14" t="n"/>
    </row>
    <row r="56">
      <c r="A56" s="9" t="inlineStr">
        <is>
          <t>F055</t>
        </is>
      </c>
      <c r="B56" s="10" t="inlineStr">
        <is>
          <t>Noir – conforme</t>
        </is>
      </c>
      <c r="C56" s="9" t="inlineStr">
        <is>
          <t>Développements limités usuels en 0</t>
        </is>
      </c>
      <c r="D56" s="10" t="inlineStr">
        <is>
          <t>DL de $(1+x)^\alpha$ en $0$ à l'ordre $n$</t>
        </is>
      </c>
      <c r="E56" s="9" t="inlineStr">
        <is>
          <t>$1+\alpha x+\dfrac{\alpha(\alpha-1)}{2!}x^2+\dots+\dfrac{\alpha(\alpha-1)\cdots(\alpha-n+1)}{n!}x^n+o(x^n)$</t>
        </is>
      </c>
      <c r="F56" s="9" t="inlineStr">
        <is>
          <t>Analyse 9 : « Développements limités usuels au voisinage de 0 : exp, cos, sin, x ↦ 1/(1+x), x ↦ ln(1+x), x ↦ (1+x)^α. »</t>
        </is>
      </c>
      <c r="G56" s="9" t="inlineStr">
        <is>
          <t>M257</t>
        </is>
      </c>
      <c r="H56" s="9" t="n">
        <v>100</v>
      </c>
      <c r="I56" s="9" t="n"/>
      <c r="J56" s="11" t="n"/>
      <c r="K56" s="11" t="n"/>
    </row>
    <row r="57">
      <c r="A57" s="12" t="inlineStr">
        <is>
          <t>F056</t>
        </is>
      </c>
      <c r="B57" s="13" t="inlineStr">
        <is>
          <t>Orange – incertain</t>
        </is>
      </c>
      <c r="C57" s="12" t="inlineStr">
        <is>
          <t>Développements limités usuels en 0</t>
        </is>
      </c>
      <c r="D57" s="13" t="inlineStr">
        <is>
          <t>DL de $\sqrt{1+x}$ en $0$ à l'ordre $2$</t>
        </is>
      </c>
      <c r="E57" s="12" t="inlineStr">
        <is>
          <t>$1+\dfrac x2-\dfrac{x^2}8+o(x^2)$</t>
        </is>
      </c>
      <c r="F57" s="12" t="inlineStr">
        <is>
          <t>Analyse 9 : DL non cité dans la liste des DL usuels (exp, cos, sin, 1/(1+x), ln(1+x), (1+x)^α) ; il s'en déduit. Cas α = 1/2.</t>
        </is>
      </c>
      <c r="G57" s="12" t="inlineStr">
        <is>
          <t>M257</t>
        </is>
      </c>
      <c r="H57" s="12" t="n">
        <v>100</v>
      </c>
      <c r="I57" s="12" t="n"/>
      <c r="J57" s="14" t="n"/>
      <c r="K57" s="14" t="n"/>
    </row>
    <row r="58">
      <c r="A58" s="12" t="inlineStr">
        <is>
          <t>F057</t>
        </is>
      </c>
      <c r="B58" s="13" t="inlineStr">
        <is>
          <t>Orange – incertain</t>
        </is>
      </c>
      <c r="C58" s="12" t="inlineStr">
        <is>
          <t>Développements limités usuels en 0</t>
        </is>
      </c>
      <c r="D58" s="13" t="inlineStr">
        <is>
          <t>DL de $\dfrac1{\sqrt{1+x}}$ en $0$ à l'ordre $2$</t>
        </is>
      </c>
      <c r="E58" s="12" t="inlineStr">
        <is>
          <t>$1-\dfrac x2+\dfrac38x^2+o(x^2)$</t>
        </is>
      </c>
      <c r="F58" s="12" t="inlineStr">
        <is>
          <t>Analyse 9 : DL non cité dans la liste des DL usuels (exp, cos, sin, 1/(1+x), ln(1+x), (1+x)^α) ; il s'en déduit. Cas α = −1/2.</t>
        </is>
      </c>
      <c r="G58" s="12" t="inlineStr">
        <is>
          <t>M257</t>
        </is>
      </c>
      <c r="H58" s="12" t="n">
        <v>100</v>
      </c>
      <c r="I58" s="12" t="n"/>
      <c r="J58" s="14" t="n"/>
      <c r="K58" s="14" t="n"/>
    </row>
    <row r="59">
      <c r="A59" s="12" t="inlineStr">
        <is>
          <t>F058</t>
        </is>
      </c>
      <c r="B59" s="13" t="inlineStr">
        <is>
          <t>Orange – incertain</t>
        </is>
      </c>
      <c r="C59" s="12" t="inlineStr">
        <is>
          <t>Développements limités usuels en 0</t>
        </is>
      </c>
      <c r="D59" s="13" t="inlineStr">
        <is>
          <t>DL de $\tan x$ en $0$ à l'ordre $3$</t>
        </is>
      </c>
      <c r="E59" s="12" t="inlineStr">
        <is>
          <t>$x+\dfrac{x^3}3+o(x^3)$</t>
        </is>
      </c>
      <c r="F59" s="12" t="inlineStr">
        <is>
          <t>Analyse 9 : DL non cité dans la liste des DL usuels (exp, cos, sin, 1/(1+x), ln(1+x), (1+x)^α) ; il s'en déduit.</t>
        </is>
      </c>
      <c r="G59" s="12" t="inlineStr">
        <is>
          <t>M260</t>
        </is>
      </c>
      <c r="H59" s="12" t="n">
        <v>100</v>
      </c>
      <c r="I59" s="12" t="n"/>
      <c r="J59" s="14" t="n"/>
      <c r="K59" s="14" t="n"/>
    </row>
    <row r="60">
      <c r="A60" s="12" t="inlineStr">
        <is>
          <t>F059</t>
        </is>
      </c>
      <c r="B60" s="13" t="inlineStr">
        <is>
          <t>Orange – incertain</t>
        </is>
      </c>
      <c r="C60" s="12" t="inlineStr">
        <is>
          <t>Développements limités usuels en 0</t>
        </is>
      </c>
      <c r="D60" s="13" t="inlineStr">
        <is>
          <t>DL de $\arctan x$ en $0$ à l'ordre $2n+2$</t>
        </is>
      </c>
      <c r="E60" s="12" t="inlineStr">
        <is>
          <t>$\displaystyle\sum_{k=0}^n(-1)^k\frac{x^{2k+1}}{2k+1}+o(x^{2n+2})=x-\frac{x^3}3+\dots$</t>
        </is>
      </c>
      <c r="F60" s="12" t="inlineStr">
        <is>
          <t>Analyse 9 : DL non cité dans la liste des DL usuels (exp, cos, sin, 1/(1+x), ln(1+x), (1+x)^α) ; il s'en déduit. S'obtient par primitivation du DL de 1/(1+x²) (« Primitivation d'un DL » est au programme).</t>
        </is>
      </c>
      <c r="G60" s="12" t="inlineStr">
        <is>
          <t>M261</t>
        </is>
      </c>
      <c r="H60" s="12" t="n">
        <v>101</v>
      </c>
      <c r="I60" s="12" t="n"/>
      <c r="J60" s="14" t="n"/>
      <c r="K60" s="14" t="n"/>
    </row>
  </sheetData>
  <autoFilter ref="A1:K60"/>
  <dataValidations count="1">
    <dataValidation sqref="J2:J60" showDropDown="0" showInputMessage="0" showErrorMessage="0" allowBlank="1" type="list">
      <formula1>"OK,Passer en noir,Passer en orange,Passer en rouge,Supprimer,Contenu à corriger"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8" t="inlineStr">
        <is>
          <t>Répartition des fiches</t>
        </is>
      </c>
    </row>
    <row r="3">
      <c r="A3" s="19" t="inlineStr">
        <is>
          <t>Statut</t>
        </is>
      </c>
      <c r="B3" s="19" t="inlineStr">
        <is>
          <t>Nombre de fiches</t>
        </is>
      </c>
      <c r="C3" s="19" t="inlineStr">
        <is>
          <t>Part</t>
        </is>
      </c>
    </row>
    <row r="4">
      <c r="A4" s="20" t="inlineStr">
        <is>
          <t>Noir – conforme</t>
        </is>
      </c>
      <c r="B4" s="21">
        <f>COUNTIF(Fiches!$B$2:$B$461,A4)</f>
        <v/>
      </c>
      <c r="C4" s="22">
        <f>IF($B$7=0,0,B4/$B$7)</f>
        <v/>
      </c>
    </row>
    <row r="5">
      <c r="A5" s="23" t="inlineStr">
        <is>
          <t>Orange – incertain</t>
        </is>
      </c>
      <c r="B5" s="21">
        <f>COUNTIF(Fiches!$B$2:$B$461,A5)</f>
        <v/>
      </c>
      <c r="C5" s="22">
        <f>IF($B$7=0,0,B5/$B$7)</f>
        <v/>
      </c>
    </row>
    <row r="6">
      <c r="A6" s="24" t="inlineStr">
        <is>
          <t>Rouge – hors programme</t>
        </is>
      </c>
      <c r="B6" s="21">
        <f>COUNTIF(Fiches!$B$2:$B$461,A6)</f>
        <v/>
      </c>
      <c r="C6" s="22">
        <f>IF($B$7=0,0,B6/$B$7)</f>
        <v/>
      </c>
    </row>
    <row r="7">
      <c r="A7" s="25" t="inlineStr">
        <is>
          <t>Total</t>
        </is>
      </c>
      <c r="B7" s="25">
        <f>SUM(B4:B6)</f>
        <v/>
      </c>
    </row>
    <row r="9">
      <c r="A9" s="25" t="inlineStr">
        <is>
          <t>Décisions saisies</t>
        </is>
      </c>
      <c r="B9" s="21">
        <f>COUNTA(Fiches!$K$2:$K$461)</f>
        <v/>
      </c>
    </row>
    <row r="11">
      <c r="A11" s="18" t="inlineStr">
        <is>
          <t>Par partie du programme</t>
        </is>
      </c>
    </row>
    <row r="12">
      <c r="A12" s="19" t="inlineStr">
        <is>
          <t>Partie</t>
        </is>
      </c>
      <c r="B12" s="19" t="inlineStr">
        <is>
          <t>Noir</t>
        </is>
      </c>
      <c r="C12" s="19" t="inlineStr">
        <is>
          <t>Orange</t>
        </is>
      </c>
      <c r="D12" s="19" t="inlineStr">
        <is>
          <t>Rouge</t>
        </is>
      </c>
      <c r="E12" s="19" t="inlineStr">
        <is>
          <t>Total</t>
        </is>
      </c>
    </row>
    <row r="13">
      <c r="A13" s="21" t="inlineStr">
        <is>
          <t>BCPST1 · Outils 1 – Logique, ensembles</t>
        </is>
      </c>
      <c r="B13" s="26">
        <f>COUNTIFS(Fiches!$D$2:$D$461,$A13,Fiches!$B$2:$B$461,"Noir – conforme")</f>
        <v/>
      </c>
      <c r="C13" s="27">
        <f>COUNTIFS(Fiches!$D$2:$D$461,$A13,Fiches!$B$2:$B$461,"Orange – incertain")</f>
        <v/>
      </c>
      <c r="D13" s="28">
        <f>COUNTIFS(Fiches!$D$2:$D$461,$A13,Fiches!$B$2:$B$461,"Rouge – hors programme")</f>
        <v/>
      </c>
      <c r="E13" s="25">
        <f>SUM(B13:D13)</f>
        <v/>
      </c>
    </row>
    <row r="14">
      <c r="A14" s="21" t="inlineStr">
        <is>
          <t>BCPST1 · Outils 2 – Nombres réels</t>
        </is>
      </c>
      <c r="B14" s="26">
        <f>COUNTIFS(Fiches!$D$2:$D$461,$A14,Fiches!$B$2:$B$461,"Noir – conforme")</f>
        <v/>
      </c>
      <c r="C14" s="27">
        <f>COUNTIFS(Fiches!$D$2:$D$461,$A14,Fiches!$B$2:$B$461,"Orange – incertain")</f>
        <v/>
      </c>
      <c r="D14" s="28">
        <f>COUNTIFS(Fiches!$D$2:$D$461,$A14,Fiches!$B$2:$B$461,"Rouge – hors programme")</f>
        <v/>
      </c>
      <c r="E14" s="25">
        <f>SUM(B14:D14)</f>
        <v/>
      </c>
    </row>
    <row r="15">
      <c r="A15" s="21" t="inlineStr">
        <is>
          <t>BCPST1 · Outils 3 – Trigonométrie</t>
        </is>
      </c>
      <c r="B15" s="26">
        <f>COUNTIFS(Fiches!$D$2:$D$461,$A15,Fiches!$B$2:$B$461,"Noir – conforme")</f>
        <v/>
      </c>
      <c r="C15" s="27">
        <f>COUNTIFS(Fiches!$D$2:$D$461,$A15,Fiches!$B$2:$B$461,"Orange – incertain")</f>
        <v/>
      </c>
      <c r="D15" s="28">
        <f>COUNTIFS(Fiches!$D$2:$D$461,$A15,Fiches!$B$2:$B$461,"Rouge – hors programme")</f>
        <v/>
      </c>
      <c r="E15" s="25">
        <f>SUM(B15:D15)</f>
        <v/>
      </c>
    </row>
    <row r="16">
      <c r="A16" s="21" t="inlineStr">
        <is>
          <t>BCPST1 · Outils 4 – Nombres complexes</t>
        </is>
      </c>
      <c r="B16" s="26">
        <f>COUNTIFS(Fiches!$D$2:$D$461,$A16,Fiches!$B$2:$B$461,"Noir – conforme")</f>
        <v/>
      </c>
      <c r="C16" s="27">
        <f>COUNTIFS(Fiches!$D$2:$D$461,$A16,Fiches!$B$2:$B$461,"Orange – incertain")</f>
        <v/>
      </c>
      <c r="D16" s="28">
        <f>COUNTIFS(Fiches!$D$2:$D$461,$A16,Fiches!$B$2:$B$461,"Rouge – hors programme")</f>
        <v/>
      </c>
      <c r="E16" s="25">
        <f>SUM(B16:D16)</f>
        <v/>
      </c>
    </row>
    <row r="17">
      <c r="A17" s="21" t="inlineStr">
        <is>
          <t>BCPST1 · Outils 5 – Méthodes de calcul</t>
        </is>
      </c>
      <c r="B17" s="26">
        <f>COUNTIFS(Fiches!$D$2:$D$461,$A17,Fiches!$B$2:$B$461,"Noir – conforme")</f>
        <v/>
      </c>
      <c r="C17" s="27">
        <f>COUNTIFS(Fiches!$D$2:$D$461,$A17,Fiches!$B$2:$B$461,"Orange – incertain")</f>
        <v/>
      </c>
      <c r="D17" s="28">
        <f>COUNTIFS(Fiches!$D$2:$D$461,$A17,Fiches!$B$2:$B$461,"Rouge – hors programme")</f>
        <v/>
      </c>
      <c r="E17" s="25">
        <f>SUM(B17:D17)</f>
        <v/>
      </c>
    </row>
    <row r="18">
      <c r="A18" s="21" t="inlineStr">
        <is>
          <t>BCPST1 · Outils 6 – Vocabulaire des applications</t>
        </is>
      </c>
      <c r="B18" s="26">
        <f>COUNTIFS(Fiches!$D$2:$D$461,$A18,Fiches!$B$2:$B$461,"Noir – conforme")</f>
        <v/>
      </c>
      <c r="C18" s="27">
        <f>COUNTIFS(Fiches!$D$2:$D$461,$A18,Fiches!$B$2:$B$461,"Orange – incertain")</f>
        <v/>
      </c>
      <c r="D18" s="28">
        <f>COUNTIFS(Fiches!$D$2:$D$461,$A18,Fiches!$B$2:$B$461,"Rouge – hors programme")</f>
        <v/>
      </c>
      <c r="E18" s="25">
        <f>SUM(B18:D18)</f>
        <v/>
      </c>
    </row>
    <row r="19">
      <c r="A19" s="21" t="inlineStr">
        <is>
          <t>BCPST1 · Outils 7 – Dénombrement</t>
        </is>
      </c>
      <c r="B19" s="26">
        <f>COUNTIFS(Fiches!$D$2:$D$461,$A19,Fiches!$B$2:$B$461,"Noir – conforme")</f>
        <v/>
      </c>
      <c r="C19" s="27">
        <f>COUNTIFS(Fiches!$D$2:$D$461,$A19,Fiches!$B$2:$B$461,"Orange – incertain")</f>
        <v/>
      </c>
      <c r="D19" s="28">
        <f>COUNTIFS(Fiches!$D$2:$D$461,$A19,Fiches!$B$2:$B$461,"Rouge – hors programme")</f>
        <v/>
      </c>
      <c r="E19" s="25">
        <f>SUM(B19:D19)</f>
        <v/>
      </c>
    </row>
    <row r="20">
      <c r="A20" s="21" t="inlineStr">
        <is>
          <t>BCPST1 · Analyse 1 – Suites réelles usuelles</t>
        </is>
      </c>
      <c r="B20" s="26">
        <f>COUNTIFS(Fiches!$D$2:$D$461,$A20,Fiches!$B$2:$B$461,"Noir – conforme")</f>
        <v/>
      </c>
      <c r="C20" s="27">
        <f>COUNTIFS(Fiches!$D$2:$D$461,$A20,Fiches!$B$2:$B$461,"Orange – incertain")</f>
        <v/>
      </c>
      <c r="D20" s="28">
        <f>COUNTIFS(Fiches!$D$2:$D$461,$A20,Fiches!$B$2:$B$461,"Rouge – hors programme")</f>
        <v/>
      </c>
      <c r="E20" s="25">
        <f>SUM(B20:D20)</f>
        <v/>
      </c>
    </row>
    <row r="21">
      <c r="A21" s="21" t="inlineStr">
        <is>
          <t>BCPST1 · Analyse 2 – Fonctions réelles usuelles</t>
        </is>
      </c>
      <c r="B21" s="26">
        <f>COUNTIFS(Fiches!$D$2:$D$461,$A21,Fiches!$B$2:$B$461,"Noir – conforme")</f>
        <v/>
      </c>
      <c r="C21" s="27">
        <f>COUNTIFS(Fiches!$D$2:$D$461,$A21,Fiches!$B$2:$B$461,"Orange – incertain")</f>
        <v/>
      </c>
      <c r="D21" s="28">
        <f>COUNTIFS(Fiches!$D$2:$D$461,$A21,Fiches!$B$2:$B$461,"Rouge – hors programme")</f>
        <v/>
      </c>
      <c r="E21" s="25">
        <f>SUM(B21:D21)</f>
        <v/>
      </c>
    </row>
    <row r="22">
      <c r="A22" s="21" t="inlineStr">
        <is>
          <t>BCPST1 · Analyse 3 – Dérivées, primitives, intégrales</t>
        </is>
      </c>
      <c r="B22" s="26">
        <f>COUNTIFS(Fiches!$D$2:$D$461,$A22,Fiches!$B$2:$B$461,"Noir – conforme")</f>
        <v/>
      </c>
      <c r="C22" s="27">
        <f>COUNTIFS(Fiches!$D$2:$D$461,$A22,Fiches!$B$2:$B$461,"Orange – incertain")</f>
        <v/>
      </c>
      <c r="D22" s="28">
        <f>COUNTIFS(Fiches!$D$2:$D$461,$A22,Fiches!$B$2:$B$461,"Rouge – hors programme")</f>
        <v/>
      </c>
      <c r="E22" s="25">
        <f>SUM(B22:D22)</f>
        <v/>
      </c>
    </row>
    <row r="23">
      <c r="A23" s="21" t="inlineStr">
        <is>
          <t>BCPST1 · Analyse 4 – Équations différentielles linéaires</t>
        </is>
      </c>
      <c r="B23" s="26">
        <f>COUNTIFS(Fiches!$D$2:$D$461,$A23,Fiches!$B$2:$B$461,"Noir – conforme")</f>
        <v/>
      </c>
      <c r="C23" s="27">
        <f>COUNTIFS(Fiches!$D$2:$D$461,$A23,Fiches!$B$2:$B$461,"Orange – incertain")</f>
        <v/>
      </c>
      <c r="D23" s="28">
        <f>COUNTIFS(Fiches!$D$2:$D$461,$A23,Fiches!$B$2:$B$461,"Rouge – hors programme")</f>
        <v/>
      </c>
      <c r="E23" s="25">
        <f>SUM(B23:D23)</f>
        <v/>
      </c>
    </row>
    <row r="24">
      <c r="A24" s="21" t="inlineStr">
        <is>
          <t>BCPST1 · Algèbre linéaire 1 – Systèmes linéaires</t>
        </is>
      </c>
      <c r="B24" s="26">
        <f>COUNTIFS(Fiches!$D$2:$D$461,$A24,Fiches!$B$2:$B$461,"Noir – conforme")</f>
        <v/>
      </c>
      <c r="C24" s="27">
        <f>COUNTIFS(Fiches!$D$2:$D$461,$A24,Fiches!$B$2:$B$461,"Orange – incertain")</f>
        <v/>
      </c>
      <c r="D24" s="28">
        <f>COUNTIFS(Fiches!$D$2:$D$461,$A24,Fiches!$B$2:$B$461,"Rouge – hors programme")</f>
        <v/>
      </c>
      <c r="E24" s="25">
        <f>SUM(B24:D24)</f>
        <v/>
      </c>
    </row>
    <row r="25">
      <c r="A25" s="21" t="inlineStr">
        <is>
          <t>BCPST1 · Algèbre linéaire 2 – Matrices</t>
        </is>
      </c>
      <c r="B25" s="26">
        <f>COUNTIFS(Fiches!$D$2:$D$461,$A25,Fiches!$B$2:$B$461,"Noir – conforme")</f>
        <v/>
      </c>
      <c r="C25" s="27">
        <f>COUNTIFS(Fiches!$D$2:$D$461,$A25,Fiches!$B$2:$B$461,"Orange – incertain")</f>
        <v/>
      </c>
      <c r="D25" s="28">
        <f>COUNTIFS(Fiches!$D$2:$D$461,$A25,Fiches!$B$2:$B$461,"Rouge – hors programme")</f>
        <v/>
      </c>
      <c r="E25" s="25">
        <f>SUM(B25:D25)</f>
        <v/>
      </c>
    </row>
    <row r="26">
      <c r="A26" s="21" t="inlineStr">
        <is>
          <t>BCPST1 · Géométrie 1</t>
        </is>
      </c>
      <c r="B26" s="26">
        <f>COUNTIFS(Fiches!$D$2:$D$461,$A26,Fiches!$B$2:$B$461,"Noir – conforme")</f>
        <v/>
      </c>
      <c r="C26" s="27">
        <f>COUNTIFS(Fiches!$D$2:$D$461,$A26,Fiches!$B$2:$B$461,"Orange – incertain")</f>
        <v/>
      </c>
      <c r="D26" s="28">
        <f>COUNTIFS(Fiches!$D$2:$D$461,$A26,Fiches!$B$2:$B$461,"Rouge – hors programme")</f>
        <v/>
      </c>
      <c r="E26" s="25">
        <f>SUM(B26:D26)</f>
        <v/>
      </c>
    </row>
    <row r="27">
      <c r="A27" s="21" t="inlineStr">
        <is>
          <t>BCPST1 · Algèbre – Polynômes réels</t>
        </is>
      </c>
      <c r="B27" s="26">
        <f>COUNTIFS(Fiches!$D$2:$D$461,$A27,Fiches!$B$2:$B$461,"Noir – conforme")</f>
        <v/>
      </c>
      <c r="C27" s="27">
        <f>COUNTIFS(Fiches!$D$2:$D$461,$A27,Fiches!$B$2:$B$461,"Orange – incertain")</f>
        <v/>
      </c>
      <c r="D27" s="28">
        <f>COUNTIFS(Fiches!$D$2:$D$461,$A27,Fiches!$B$2:$B$461,"Rouge – hors programme")</f>
        <v/>
      </c>
      <c r="E27" s="25">
        <f>SUM(B27:D27)</f>
        <v/>
      </c>
    </row>
    <row r="28">
      <c r="A28" s="21" t="inlineStr">
        <is>
          <t>BCPST1 · Analyse 5 – Suites réelles</t>
        </is>
      </c>
      <c r="B28" s="26">
        <f>COUNTIFS(Fiches!$D$2:$D$461,$A28,Fiches!$B$2:$B$461,"Noir – conforme")</f>
        <v/>
      </c>
      <c r="C28" s="27">
        <f>COUNTIFS(Fiches!$D$2:$D$461,$A28,Fiches!$B$2:$B$461,"Orange – incertain")</f>
        <v/>
      </c>
      <c r="D28" s="28">
        <f>COUNTIFS(Fiches!$D$2:$D$461,$A28,Fiches!$B$2:$B$461,"Rouge – hors programme")</f>
        <v/>
      </c>
      <c r="E28" s="25">
        <f>SUM(B28:D28)</f>
        <v/>
      </c>
    </row>
    <row r="29">
      <c r="A29" s="21" t="inlineStr">
        <is>
          <t>BCPST1 · Analyse 6 – Limites, continuité</t>
        </is>
      </c>
      <c r="B29" s="26">
        <f>COUNTIFS(Fiches!$D$2:$D$461,$A29,Fiches!$B$2:$B$461,"Noir – conforme")</f>
        <v/>
      </c>
      <c r="C29" s="27">
        <f>COUNTIFS(Fiches!$D$2:$D$461,$A29,Fiches!$B$2:$B$461,"Orange – incertain")</f>
        <v/>
      </c>
      <c r="D29" s="28">
        <f>COUNTIFS(Fiches!$D$2:$D$461,$A29,Fiches!$B$2:$B$461,"Rouge – hors programme")</f>
        <v/>
      </c>
      <c r="E29" s="25">
        <f>SUM(B29:D29)</f>
        <v/>
      </c>
    </row>
    <row r="30">
      <c r="A30" s="21" t="inlineStr">
        <is>
          <t>BCPST1 · Analyse 7 – Dérivation</t>
        </is>
      </c>
      <c r="B30" s="26">
        <f>COUNTIFS(Fiches!$D$2:$D$461,$A30,Fiches!$B$2:$B$461,"Noir – conforme")</f>
        <v/>
      </c>
      <c r="C30" s="27">
        <f>COUNTIFS(Fiches!$D$2:$D$461,$A30,Fiches!$B$2:$B$461,"Orange – incertain")</f>
        <v/>
      </c>
      <c r="D30" s="28">
        <f>COUNTIFS(Fiches!$D$2:$D$461,$A30,Fiches!$B$2:$B$461,"Rouge – hors programme")</f>
        <v/>
      </c>
      <c r="E30" s="25">
        <f>SUM(B30:D30)</f>
        <v/>
      </c>
    </row>
    <row r="31">
      <c r="A31" s="21" t="inlineStr">
        <is>
          <t>BCPST1 · Analyse 8 – Intégration sur un segment</t>
        </is>
      </c>
      <c r="B31" s="26">
        <f>COUNTIFS(Fiches!$D$2:$D$461,$A31,Fiches!$B$2:$B$461,"Noir – conforme")</f>
        <v/>
      </c>
      <c r="C31" s="27">
        <f>COUNTIFS(Fiches!$D$2:$D$461,$A31,Fiches!$B$2:$B$461,"Orange – incertain")</f>
        <v/>
      </c>
      <c r="D31" s="28">
        <f>COUNTIFS(Fiches!$D$2:$D$461,$A31,Fiches!$B$2:$B$461,"Rouge – hors programme")</f>
        <v/>
      </c>
      <c r="E31" s="25">
        <f>SUM(B31:D31)</f>
        <v/>
      </c>
    </row>
    <row r="32">
      <c r="A32" s="21" t="inlineStr">
        <is>
          <t>BCPST1 · Analyse 9 – Développements limités</t>
        </is>
      </c>
      <c r="B32" s="26">
        <f>COUNTIFS(Fiches!$D$2:$D$461,$A32,Fiches!$B$2:$B$461,"Noir – conforme")</f>
        <v/>
      </c>
      <c r="C32" s="27">
        <f>COUNTIFS(Fiches!$D$2:$D$461,$A32,Fiches!$B$2:$B$461,"Orange – incertain")</f>
        <v/>
      </c>
      <c r="D32" s="28">
        <f>COUNTIFS(Fiches!$D$2:$D$461,$A32,Fiches!$B$2:$B$461,"Rouge – hors programme")</f>
        <v/>
      </c>
      <c r="E32" s="25">
        <f>SUM(B32:D32)</f>
        <v/>
      </c>
    </row>
    <row r="33">
      <c r="A33" s="21" t="inlineStr">
        <is>
          <t>BCPST1 · Analyse 10 – Fonctions de deux variables</t>
        </is>
      </c>
      <c r="B33" s="26">
        <f>COUNTIFS(Fiches!$D$2:$D$461,$A33,Fiches!$B$2:$B$461,"Noir – conforme")</f>
        <v/>
      </c>
      <c r="C33" s="27">
        <f>COUNTIFS(Fiches!$D$2:$D$461,$A33,Fiches!$B$2:$B$461,"Orange – incertain")</f>
        <v/>
      </c>
      <c r="D33" s="28">
        <f>COUNTIFS(Fiches!$D$2:$D$461,$A33,Fiches!$B$2:$B$461,"Rouge – hors programme")</f>
        <v/>
      </c>
      <c r="E33" s="25">
        <f>SUM(B33:D33)</f>
        <v/>
      </c>
    </row>
    <row r="34">
      <c r="A34" s="21" t="inlineStr">
        <is>
          <t>BCPST1 · Probabilités 1 – Concepts de base</t>
        </is>
      </c>
      <c r="B34" s="26">
        <f>COUNTIFS(Fiches!$D$2:$D$461,$A34,Fiches!$B$2:$B$461,"Noir – conforme")</f>
        <v/>
      </c>
      <c r="C34" s="27">
        <f>COUNTIFS(Fiches!$D$2:$D$461,$A34,Fiches!$B$2:$B$461,"Orange – incertain")</f>
        <v/>
      </c>
      <c r="D34" s="28">
        <f>COUNTIFS(Fiches!$D$2:$D$461,$A34,Fiches!$B$2:$B$461,"Rouge – hors programme")</f>
        <v/>
      </c>
      <c r="E34" s="25">
        <f>SUM(B34:D34)</f>
        <v/>
      </c>
    </row>
    <row r="35">
      <c r="A35" s="21" t="inlineStr">
        <is>
          <t>BCPST1 · Probabilités 2 – Variables sur un univers fini</t>
        </is>
      </c>
      <c r="B35" s="26">
        <f>COUNTIFS(Fiches!$D$2:$D$461,$A35,Fiches!$B$2:$B$461,"Noir – conforme")</f>
        <v/>
      </c>
      <c r="C35" s="27">
        <f>COUNTIFS(Fiches!$D$2:$D$461,$A35,Fiches!$B$2:$B$461,"Orange – incertain")</f>
        <v/>
      </c>
      <c r="D35" s="28">
        <f>COUNTIFS(Fiches!$D$2:$D$461,$A35,Fiches!$B$2:$B$461,"Rouge – hors programme")</f>
        <v/>
      </c>
      <c r="E35" s="25">
        <f>SUM(B35:D35)</f>
        <v/>
      </c>
    </row>
    <row r="36">
      <c r="A36" s="21" t="inlineStr">
        <is>
          <t>BCPST2 · Analyse 1 – Séries réelles</t>
        </is>
      </c>
      <c r="B36" s="26">
        <f>COUNTIFS(Fiches!$D$2:$D$461,$A36,Fiches!$B$2:$B$461,"Noir – conforme")</f>
        <v/>
      </c>
      <c r="C36" s="27">
        <f>COUNTIFS(Fiches!$D$2:$D$461,$A36,Fiches!$B$2:$B$461,"Orange – incertain")</f>
        <v/>
      </c>
      <c r="D36" s="28">
        <f>COUNTIFS(Fiches!$D$2:$D$461,$A36,Fiches!$B$2:$B$461,"Rouge – hors programme")</f>
        <v/>
      </c>
      <c r="E36" s="25">
        <f>SUM(B36:D36)</f>
        <v/>
      </c>
    </row>
    <row r="37">
      <c r="A37" s="21" t="inlineStr">
        <is>
          <t>BCPST2 · Analyse 2 – Intégrales généralisées</t>
        </is>
      </c>
      <c r="B37" s="26">
        <f>COUNTIFS(Fiches!$D$2:$D$461,$A37,Fiches!$B$2:$B$461,"Noir – conforme")</f>
        <v/>
      </c>
      <c r="C37" s="27">
        <f>COUNTIFS(Fiches!$D$2:$D$461,$A37,Fiches!$B$2:$B$461,"Orange – incertain")</f>
        <v/>
      </c>
      <c r="D37" s="28">
        <f>COUNTIFS(Fiches!$D$2:$D$461,$A37,Fiches!$B$2:$B$461,"Rouge – hors programme")</f>
        <v/>
      </c>
      <c r="E37" s="25">
        <f>SUM(B37:D37)</f>
        <v/>
      </c>
    </row>
    <row r="38">
      <c r="A38" s="21" t="inlineStr">
        <is>
          <t>BCPST2 · Algèbre – Polynômes</t>
        </is>
      </c>
      <c r="B38" s="26">
        <f>COUNTIFS(Fiches!$D$2:$D$461,$A38,Fiches!$B$2:$B$461,"Noir – conforme")</f>
        <v/>
      </c>
      <c r="C38" s="27">
        <f>COUNTIFS(Fiches!$D$2:$D$461,$A38,Fiches!$B$2:$B$461,"Orange – incertain")</f>
        <v/>
      </c>
      <c r="D38" s="28">
        <f>COUNTIFS(Fiches!$D$2:$D$461,$A38,Fiches!$B$2:$B$461,"Rouge – hors programme")</f>
        <v/>
      </c>
      <c r="E38" s="25">
        <f>SUM(B38:D38)</f>
        <v/>
      </c>
    </row>
    <row r="39">
      <c r="A39" s="21" t="inlineStr">
        <is>
          <t>BCPST2 · Algèbre linéaire 1 – Espaces vectoriels</t>
        </is>
      </c>
      <c r="B39" s="26">
        <f>COUNTIFS(Fiches!$D$2:$D$461,$A39,Fiches!$B$2:$B$461,"Noir – conforme")</f>
        <v/>
      </c>
      <c r="C39" s="27">
        <f>COUNTIFS(Fiches!$D$2:$D$461,$A39,Fiches!$B$2:$B$461,"Orange – incertain")</f>
        <v/>
      </c>
      <c r="D39" s="28">
        <f>COUNTIFS(Fiches!$D$2:$D$461,$A39,Fiches!$B$2:$B$461,"Rouge – hors programme")</f>
        <v/>
      </c>
      <c r="E39" s="25">
        <f>SUM(B39:D39)</f>
        <v/>
      </c>
    </row>
    <row r="40">
      <c r="A40" s="21" t="inlineStr">
        <is>
          <t>BCPST2 · Algèbre linéaire 2 – Applications linéaires et matrices</t>
        </is>
      </c>
      <c r="B40" s="26">
        <f>COUNTIFS(Fiches!$D$2:$D$461,$A40,Fiches!$B$2:$B$461,"Noir – conforme")</f>
        <v/>
      </c>
      <c r="C40" s="27">
        <f>COUNTIFS(Fiches!$D$2:$D$461,$A40,Fiches!$B$2:$B$461,"Orange – incertain")</f>
        <v/>
      </c>
      <c r="D40" s="28">
        <f>COUNTIFS(Fiches!$D$2:$D$461,$A40,Fiches!$B$2:$B$461,"Rouge – hors programme")</f>
        <v/>
      </c>
      <c r="E40" s="25">
        <f>SUM(B40:D40)</f>
        <v/>
      </c>
    </row>
    <row r="41">
      <c r="A41" s="21" t="inlineStr">
        <is>
          <t>BCPST2 · Algèbre linéaire 3 – Valeurs propres</t>
        </is>
      </c>
      <c r="B41" s="26">
        <f>COUNTIFS(Fiches!$D$2:$D$461,$A41,Fiches!$B$2:$B$461,"Noir – conforme")</f>
        <v/>
      </c>
      <c r="C41" s="27">
        <f>COUNTIFS(Fiches!$D$2:$D$461,$A41,Fiches!$B$2:$B$461,"Orange – incertain")</f>
        <v/>
      </c>
      <c r="D41" s="28">
        <f>COUNTIFS(Fiches!$D$2:$D$461,$A41,Fiches!$B$2:$B$461,"Rouge – hors programme")</f>
        <v/>
      </c>
      <c r="E41" s="25">
        <f>SUM(B41:D41)</f>
        <v/>
      </c>
    </row>
    <row r="42">
      <c r="A42" s="21" t="inlineStr">
        <is>
          <t>BCPST2 · Géométrie – Produit scalaire dans Rⁿ</t>
        </is>
      </c>
      <c r="B42" s="26">
        <f>COUNTIFS(Fiches!$D$2:$D$461,$A42,Fiches!$B$2:$B$461,"Noir – conforme")</f>
        <v/>
      </c>
      <c r="C42" s="27">
        <f>COUNTIFS(Fiches!$D$2:$D$461,$A42,Fiches!$B$2:$B$461,"Orange – incertain")</f>
        <v/>
      </c>
      <c r="D42" s="28">
        <f>COUNTIFS(Fiches!$D$2:$D$461,$A42,Fiches!$B$2:$B$461,"Rouge – hors programme")</f>
        <v/>
      </c>
      <c r="E42" s="25">
        <f>SUM(B42:D42)</f>
        <v/>
      </c>
    </row>
    <row r="43">
      <c r="A43" s="21" t="inlineStr">
        <is>
          <t>BCPST2 · Probabilités 1 – Concepts de base</t>
        </is>
      </c>
      <c r="B43" s="26">
        <f>COUNTIFS(Fiches!$D$2:$D$461,$A43,Fiches!$B$2:$B$461,"Noir – conforme")</f>
        <v/>
      </c>
      <c r="C43" s="27">
        <f>COUNTIFS(Fiches!$D$2:$D$461,$A43,Fiches!$B$2:$B$461,"Orange – incertain")</f>
        <v/>
      </c>
      <c r="D43" s="28">
        <f>COUNTIFS(Fiches!$D$2:$D$461,$A43,Fiches!$B$2:$B$461,"Rouge – hors programme")</f>
        <v/>
      </c>
      <c r="E43" s="25">
        <f>SUM(B43:D43)</f>
        <v/>
      </c>
    </row>
    <row r="44">
      <c r="A44" s="21" t="inlineStr">
        <is>
          <t>BCPST2 · Probabilités 2 – Variables discrètes</t>
        </is>
      </c>
      <c r="B44" s="26">
        <f>COUNTIFS(Fiches!$D$2:$D$461,$A44,Fiches!$B$2:$B$461,"Noir – conforme")</f>
        <v/>
      </c>
      <c r="C44" s="27">
        <f>COUNTIFS(Fiches!$D$2:$D$461,$A44,Fiches!$B$2:$B$461,"Orange – incertain")</f>
        <v/>
      </c>
      <c r="D44" s="28">
        <f>COUNTIFS(Fiches!$D$2:$D$461,$A44,Fiches!$B$2:$B$461,"Rouge – hors programme")</f>
        <v/>
      </c>
      <c r="E44" s="25">
        <f>SUM(B44:D44)</f>
        <v/>
      </c>
    </row>
    <row r="45">
      <c r="A45" s="21" t="inlineStr">
        <is>
          <t>BCPST2 · Probabilités 3 – Couples discrets</t>
        </is>
      </c>
      <c r="B45" s="26">
        <f>COUNTIFS(Fiches!$D$2:$D$461,$A45,Fiches!$B$2:$B$461,"Noir – conforme")</f>
        <v/>
      </c>
      <c r="C45" s="27">
        <f>COUNTIFS(Fiches!$D$2:$D$461,$A45,Fiches!$B$2:$B$461,"Orange – incertain")</f>
        <v/>
      </c>
      <c r="D45" s="28">
        <f>COUNTIFS(Fiches!$D$2:$D$461,$A45,Fiches!$B$2:$B$461,"Rouge – hors programme")</f>
        <v/>
      </c>
      <c r="E45" s="25">
        <f>SUM(B45:D45)</f>
        <v/>
      </c>
    </row>
    <row r="46">
      <c r="A46" s="21" t="inlineStr">
        <is>
          <t>BCPST2 · Probabilités 4 – Variables à densité</t>
        </is>
      </c>
      <c r="B46" s="26">
        <f>COUNTIFS(Fiches!$D$2:$D$461,$A46,Fiches!$B$2:$B$461,"Noir – conforme")</f>
        <v/>
      </c>
      <c r="C46" s="27">
        <f>COUNTIFS(Fiches!$D$2:$D$461,$A46,Fiches!$B$2:$B$461,"Orange – incertain")</f>
        <v/>
      </c>
      <c r="D46" s="28">
        <f>COUNTIFS(Fiches!$D$2:$D$461,$A46,Fiches!$B$2:$B$461,"Rouge – hors programme")</f>
        <v/>
      </c>
      <c r="E46" s="25">
        <f>SUM(B46:D46)</f>
        <v/>
      </c>
    </row>
    <row r="47">
      <c r="A47" s="21" t="inlineStr">
        <is>
          <t>BCPST2 · Probabilités 5 – Théorèmes limites</t>
        </is>
      </c>
      <c r="B47" s="26">
        <f>COUNTIFS(Fiches!$D$2:$D$461,$A47,Fiches!$B$2:$B$461,"Noir – conforme")</f>
        <v/>
      </c>
      <c r="C47" s="27">
        <f>COUNTIFS(Fiches!$D$2:$D$461,$A47,Fiches!$B$2:$B$461,"Orange – incertain")</f>
        <v/>
      </c>
      <c r="D47" s="28">
        <f>COUNTIFS(Fiches!$D$2:$D$461,$A47,Fiches!$B$2:$B$461,"Rouge – hors programme")</f>
        <v/>
      </c>
      <c r="E47" s="25">
        <f>SUM(B47:D47)</f>
        <v/>
      </c>
    </row>
    <row r="48">
      <c r="A48" s="21" t="inlineStr">
        <is>
          <t>Hors des chapitres du programme</t>
        </is>
      </c>
      <c r="B48" s="26">
        <f>COUNTIFS(Fiches!$D$2:$D$461,$A48,Fiches!$B$2:$B$461,"Noir – conforme")</f>
        <v/>
      </c>
      <c r="C48" s="27">
        <f>COUNTIFS(Fiches!$D$2:$D$461,$A48,Fiches!$B$2:$B$461,"Orange – incertain")</f>
        <v/>
      </c>
      <c r="D48" s="28">
        <f>COUNTIFS(Fiches!$D$2:$D$461,$A48,Fiches!$B$2:$B$461,"Rouge – hors programme")</f>
        <v/>
      </c>
      <c r="E48" s="25">
        <f>SUM(B48:D48)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40" customWidth="1" min="3" max="3"/>
    <col width="90" customWidth="1" min="4" max="4"/>
    <col width="22" customWidth="1" min="5" max="5"/>
  </cols>
  <sheetData>
    <row r="1">
      <c r="A1" s="19" t="inlineStr">
        <is>
          <t>ID fiche</t>
        </is>
      </c>
      <c r="B1" s="19" t="inlineStr">
        <is>
          <t>Page</t>
        </is>
      </c>
      <c r="C1" s="19" t="inlineStr">
        <is>
          <t>Intitulé</t>
        </is>
      </c>
      <c r="D1" s="19" t="inlineStr">
        <is>
          <t>Problème relevé dans l'ouvrage</t>
        </is>
      </c>
      <c r="E1" s="19" t="inlineStr">
        <is>
          <t>Gravité</t>
        </is>
      </c>
    </row>
    <row r="2">
      <c r="A2" s="7" t="inlineStr">
        <is>
          <t>M008</t>
        </is>
      </c>
      <c r="B2" s="7" t="n">
        <v>21</v>
      </c>
      <c r="C2" s="7" t="inlineStr">
        <is>
          <t>Factorisation de a cos θ + b sin θ</t>
        </is>
      </c>
      <c r="D2" s="7" t="inlineStr">
        <is>
          <t>ERREUR DANS L'OUVRAGE : il écrit $r\cos(\theta+\varphi)$ avec $\sin\varphi=b/r$ ; avec cette convention il faut $\sin\varphi=-b/r$ (ou bien $r\cos(\theta-\varphi)$). Corrigé ici dans la forme du programme</t>
        </is>
      </c>
      <c r="E2" s="29" t="inlineStr">
        <is>
          <t>Erreur mathématique</t>
        </is>
      </c>
    </row>
    <row r="3">
      <c r="A3" s="5" t="inlineStr">
        <is>
          <t>M032</t>
        </is>
      </c>
      <c r="B3" s="5" t="n">
        <v>20</v>
      </c>
      <c r="C3" s="5" t="inlineStr">
        <is>
          <t>Résolution des équations du second degré à coefficients réels</t>
        </is>
      </c>
      <c r="D3" s="5" t="inlineStr">
        <is>
          <t>Coquille dans l'ouvrage : « $\Delta&gt;0$ » écrit deux fois au lieu de $\Delta&lt;0$ pour le 3e cas</t>
        </is>
      </c>
      <c r="E3" s="5" t="inlineStr">
        <is>
          <t>Coquille / imprécision</t>
        </is>
      </c>
    </row>
    <row r="4">
      <c r="A4" s="5" t="inlineStr">
        <is>
          <t>M034</t>
        </is>
      </c>
      <c r="B4" s="5" t="n">
        <v>21</v>
      </c>
      <c r="C4" s="5" t="inlineStr">
        <is>
          <t>Formule de Moivre</t>
        </is>
      </c>
      <c r="D4" s="5" t="inlineStr">
        <is>
          <t>Coquille dans l'ouvrage (« $-$ » au lieu de « $=$ »)</t>
        </is>
      </c>
      <c r="E4" s="5" t="inlineStr">
        <is>
          <t>Coquille / imprécision</t>
        </is>
      </c>
    </row>
    <row r="5">
      <c r="A5" s="7" t="inlineStr">
        <is>
          <t>M053</t>
        </is>
      </c>
      <c r="B5" s="7" t="n">
        <v>74</v>
      </c>
      <c r="C5" s="7" t="inlineStr">
        <is>
          <t>Applications et p-uplets</t>
        </is>
      </c>
      <c r="D5" s="7" t="inlineStr">
        <is>
          <t>ERREUR DANS L'OUVRAGE : il écrit « sans remise » ; c'est AVEC remise</t>
        </is>
      </c>
      <c r="E5" s="29" t="inlineStr">
        <is>
          <t>Erreur mathématique</t>
        </is>
      </c>
    </row>
    <row r="6">
      <c r="A6" s="7" t="inlineStr">
        <is>
          <t>M054</t>
        </is>
      </c>
      <c r="B6" s="7" t="n">
        <v>74</v>
      </c>
      <c r="C6" s="7" t="inlineStr">
        <is>
          <t>Injections et p-uplets d'éléments distincts</t>
        </is>
      </c>
      <c r="D6" s="7" t="inlineStr">
        <is>
          <t>ERREUR DANS L'OUVRAGE : il écrit « avec remise » ; c'est SANS remise</t>
        </is>
      </c>
      <c r="E6" s="29" t="inlineStr">
        <is>
          <t>Erreur mathématique</t>
        </is>
      </c>
    </row>
    <row r="7">
      <c r="A7" s="7" t="inlineStr">
        <is>
          <t>M067</t>
        </is>
      </c>
      <c r="B7" s="7" t="n">
        <v>104</v>
      </c>
      <c r="C7" s="7" t="inlineStr">
        <is>
          <t>Trigonométrie hyperbolique</t>
        </is>
      </c>
      <c r="D7" s="7" t="inlineStr">
        <is>
          <t>ERREUR DANS L'OUVRAGE : $\mathrm{th}(a-b)$ a pour numérateur $\mathrm{th}\,a-\mathrm{th}\,b$ (l'ouvrage écrit $+$)</t>
        </is>
      </c>
      <c r="E7" s="29" t="inlineStr">
        <is>
          <t>Erreur mathématique</t>
        </is>
      </c>
    </row>
    <row r="8">
      <c r="A8" s="7" t="inlineStr">
        <is>
          <t>M094</t>
        </is>
      </c>
      <c r="B8" s="7" t="n">
        <v>14</v>
      </c>
      <c r="C8" s="7" t="inlineStr">
        <is>
          <t>Transposée d'une matrice – Règles de calcul</t>
        </is>
      </c>
      <c r="D8" s="7" t="inlineStr">
        <is>
          <t>ERREUR PROBABLE DANS L'OUVRAGE : il écrit ${}^t(A+\lambda B)=\lambda{}^tA+{}^tB$ ; corrigé ici</t>
        </is>
      </c>
      <c r="E8" s="29" t="inlineStr">
        <is>
          <t>Erreur mathématique</t>
        </is>
      </c>
    </row>
    <row r="9">
      <c r="A9" s="7" t="inlineStr">
        <is>
          <t>M113</t>
        </is>
      </c>
      <c r="B9" s="7" t="n">
        <v>56</v>
      </c>
      <c r="C9" s="7" t="inlineStr">
        <is>
          <t>Parallélisme de deux droites – Définition</t>
        </is>
      </c>
      <c r="D9" s="7" t="inlineStr">
        <is>
          <t>ERREUR DANS L'OUVRAGE : il écrit « tout vecteur directeur de $D_1$ est orthogonal à tout vecteur directeur de $D_2$ » ; corrigé (colinéaire)</t>
        </is>
      </c>
      <c r="E9" s="29" t="inlineStr">
        <is>
          <t>Erreur mathématique</t>
        </is>
      </c>
    </row>
    <row r="10">
      <c r="A10" s="5" t="inlineStr">
        <is>
          <t>M141</t>
        </is>
      </c>
      <c r="B10" s="5" t="n">
        <v>62</v>
      </c>
      <c r="C10" s="5" t="inlineStr">
        <is>
          <t>Bases et repères orthonormaux (espace)</t>
        </is>
      </c>
      <c r="D10" s="5" t="inlineStr">
        <is>
          <t>L'ouvrage n'écrit que $\vec i\cdot\vec j=0$ et omet $\|\vec k\|=1$ (cadre incomplet)</t>
        </is>
      </c>
      <c r="E10" s="5" t="inlineStr">
        <is>
          <t>Coquille / imprécision</t>
        </is>
      </c>
    </row>
    <row r="11">
      <c r="A11" s="5" t="inlineStr">
        <is>
          <t>M147</t>
        </is>
      </c>
      <c r="B11" s="5" t="n">
        <v>66</v>
      </c>
      <c r="C11" s="5" t="inlineStr">
        <is>
          <t>Parallélisme de deux plans – Définition</t>
        </is>
      </c>
      <c r="D11" s="5" t="inlineStr">
        <is>
          <t>Coquille dans l'ouvrage (« deux droites »)</t>
        </is>
      </c>
      <c r="E11" s="5" t="inlineStr">
        <is>
          <t>Coquille / imprécision</t>
        </is>
      </c>
    </row>
    <row r="12">
      <c r="A12" s="5" t="inlineStr">
        <is>
          <t>M171</t>
        </is>
      </c>
      <c r="B12" s="5" t="n">
        <v>22</v>
      </c>
      <c r="C12" s="5" t="inlineStr">
        <is>
          <t>Suites extraites des rangs pairs et impairs</t>
        </is>
      </c>
      <c r="D12" s="5" t="inlineStr">
        <is>
          <t>Coquille dans l'ouvrage (indices mélangés) ; énoncé rétabli</t>
        </is>
      </c>
      <c r="E12" s="5" t="inlineStr">
        <is>
          <t>Coquille / imprécision</t>
        </is>
      </c>
    </row>
    <row r="13">
      <c r="A13" s="5" t="inlineStr">
        <is>
          <t>M193</t>
        </is>
      </c>
      <c r="B13" s="5" t="n">
        <v>28</v>
      </c>
      <c r="C13" s="5" t="inlineStr">
        <is>
          <t>Théorème des gendarmes (fonctions, limites finies)</t>
        </is>
      </c>
      <c r="D13" s="5" t="inlineStr">
        <is>
          <t>Coquille dans l'ouvrage (rôles de $g$ et $h$ inversés) ; énoncé rétabli</t>
        </is>
      </c>
      <c r="E13" s="5" t="inlineStr">
        <is>
          <t>Coquille / imprécision</t>
        </is>
      </c>
    </row>
    <row r="14">
      <c r="A14" s="5" t="inlineStr">
        <is>
          <t>M256</t>
        </is>
      </c>
      <c r="B14" s="5" t="n">
        <v>51</v>
      </c>
      <c r="C14" s="5" t="inlineStr">
        <is>
          <t>Asymptote oblique</t>
        </is>
      </c>
      <c r="D14" s="5" t="inlineStr">
        <is>
          <t>Coquille dans l'ouvrage (« asymptote horizontale » au lieu d'oblique)</t>
        </is>
      </c>
      <c r="E14" s="5" t="inlineStr">
        <is>
          <t>Coquille / imprécision</t>
        </is>
      </c>
    </row>
    <row r="15">
      <c r="A15" s="7" t="inlineStr">
        <is>
          <t>M302</t>
        </is>
      </c>
      <c r="B15" s="7" t="n">
        <v>44</v>
      </c>
      <c r="C15" s="7" t="inlineStr">
        <is>
          <t>Séries à termes positifs : critère de convergence</t>
        </is>
      </c>
      <c r="D15" s="7" t="inlineStr">
        <is>
          <t>ERREUR DANS L'OUVRAGE : il énonce ce critère pour toute série ; il n'est valable que pour les séries à termes positifs (titre de l'ouvrage : « Condition nécessaire et suffisante de convergence »)</t>
        </is>
      </c>
      <c r="E15" s="29" t="inlineStr">
        <is>
          <t>Erreur mathématique</t>
        </is>
      </c>
    </row>
    <row r="16">
      <c r="A16" s="7" t="inlineStr">
        <is>
          <t>M303</t>
        </is>
      </c>
      <c r="B16" s="7" t="n">
        <v>45</v>
      </c>
      <c r="C16" s="7" t="inlineStr">
        <is>
          <t>Reste d'une série numérique</t>
        </is>
      </c>
      <c r="D16" s="7" t="inlineStr">
        <is>
          <t>ERREUR DANS L'OUVRAGE : il définit $R_n=\sum_{k=0}^nu_k$ (c'est la somme partielle) ; corrigé ici</t>
        </is>
      </c>
      <c r="E16" s="29" t="inlineStr">
        <is>
          <t>Erreur mathématique</t>
        </is>
      </c>
    </row>
    <row r="17">
      <c r="A17" s="7" t="inlineStr">
        <is>
          <t>M308</t>
        </is>
      </c>
      <c r="B17" s="7" t="n">
        <v>45</v>
      </c>
      <c r="C17" s="7" t="inlineStr">
        <is>
          <t>Séries géométriques</t>
        </is>
      </c>
      <c r="D17" s="7" t="inlineStr">
        <is>
          <t>ERREUR DANS L'OUVRAGE : il donne $\sum n^2q^n=\frac{q^2+q}{(1-q)^2}$ ; le bon dénominateur est $(1-q)^3$</t>
        </is>
      </c>
      <c r="E17" s="29" t="inlineStr">
        <is>
          <t>Erreur mathématique</t>
        </is>
      </c>
    </row>
    <row r="18">
      <c r="A18" s="7" t="inlineStr">
        <is>
          <t>M395</t>
        </is>
      </c>
      <c r="B18" s="7" t="n">
        <v>81</v>
      </c>
      <c r="C18" s="7" t="inlineStr">
        <is>
          <t>Loi géométrique</t>
        </is>
      </c>
      <c r="D18" s="7" t="inlineStr">
        <is>
          <t>ERREUR DANS L'OUVRAGE : la modélisation des lois géométrique et géométrique décalée est inversée ; corrigé ici</t>
        </is>
      </c>
      <c r="E18" s="29" t="inlineStr">
        <is>
          <t>Erreur mathématique</t>
        </is>
      </c>
    </row>
    <row r="19">
      <c r="A19" s="7" t="inlineStr">
        <is>
          <t>M396</t>
        </is>
      </c>
      <c r="B19" s="7" t="n">
        <v>82</v>
      </c>
      <c r="C19" s="7" t="inlineStr">
        <is>
          <t>Loi géométrique décalée sur ℕ</t>
        </is>
      </c>
      <c r="D19" s="7" t="inlineStr">
        <is>
          <t>ERREUR DANS L'OUVRAGE : modélisation inversée avec la loi géométrique ; corrigé ici</t>
        </is>
      </c>
      <c r="E19" s="29" t="inlineStr">
        <is>
          <t>Erreur mathématique</t>
        </is>
      </c>
    </row>
    <row r="20">
      <c r="A20" s="7" t="inlineStr">
        <is>
          <t>M426</t>
        </is>
      </c>
      <c r="B20" s="7" t="n">
        <v>90</v>
      </c>
      <c r="C20" s="7" t="inlineStr">
        <is>
          <t>Loi exponentielle</t>
        </is>
      </c>
      <c r="D20" s="7" t="inlineStr">
        <is>
          <t>ERREUR DANS L'OUVRAGE : il écrit $F_X(t)=-e^{-\lambda t}$ ; correct : $1-e^{-\lambda t}$</t>
        </is>
      </c>
      <c r="E20" s="29" t="inlineStr">
        <is>
          <t>Erreur mathématique</t>
        </is>
      </c>
    </row>
    <row r="21">
      <c r="A21" s="5" t="inlineStr">
        <is>
          <t>M429</t>
        </is>
      </c>
      <c r="B21" s="5" t="n">
        <v>91</v>
      </c>
      <c r="C21" s="5" t="inlineStr">
        <is>
          <t>Couple de variables à densité</t>
        </is>
      </c>
      <c r="D21" s="5" t="inlineStr">
        <is>
          <t>Coquille dans l'ouvrage (« $P(X\in I)$ » au lieu de $P(X\in I,Y\in J)$)</t>
        </is>
      </c>
      <c r="E21" s="5" t="inlineStr">
        <is>
          <t>Coquille / imprécision</t>
        </is>
      </c>
    </row>
    <row r="22">
      <c r="A22" s="5" t="inlineStr">
        <is>
          <t>M436</t>
        </is>
      </c>
      <c r="B22" s="5" t="n">
        <v>93</v>
      </c>
      <c r="C22" s="5" t="inlineStr">
        <is>
          <t>Densité d'une somme de variables indépendantes (convolution)</t>
        </is>
      </c>
      <c r="D22" s="5" t="inlineStr">
        <is>
          <t>Titre de l'ouvrage erroné (« gaussiennes ») : le résultat vaut pour toutes variables à densité indépendantes</t>
        </is>
      </c>
      <c r="E22" s="5" t="inlineStr">
        <is>
          <t>Coquille / imprécision</t>
        </is>
      </c>
    </row>
    <row r="23">
      <c r="A23" s="5" t="inlineStr">
        <is>
          <t>M449</t>
        </is>
      </c>
      <c r="B23" s="5" t="n">
        <v>41</v>
      </c>
      <c r="C23" s="5" t="inlineStr">
        <is>
          <t>Coefficients de f(x) = c + Σ [aₖ cos(kωx) + bₖ sin(kωx)]</t>
        </is>
      </c>
      <c r="D23" s="5" t="inlineStr">
        <is>
          <t>Coquille dans l'ouvrage (« $c=$ » au lieu de « $b_k=$ »)</t>
        </is>
      </c>
      <c r="E23" s="5" t="inlineStr">
        <is>
          <t>Coquille / imprécision</t>
        </is>
      </c>
    </row>
    <row r="24">
      <c r="A24" s="7" t="inlineStr">
        <is>
          <t>M458</t>
        </is>
      </c>
      <c r="B24" s="7" t="n">
        <v>71</v>
      </c>
      <c r="C24" s="7" t="inlineStr">
        <is>
          <t>Produit vectoriel – Propriété (orthogonalité)</t>
        </is>
      </c>
      <c r="D24" s="7" t="inlineStr">
        <is>
          <t>ERREUR DANS L'OUVRAGE : il écrit « non colinéaires et unitaires », il faut « orthogonaux et unitaires » ; corrigé</t>
        </is>
      </c>
      <c r="E24" s="29" t="inlineStr">
        <is>
          <t>Erreur mathématique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2026-10-22T21:43:10Z</dcterms:created>
  <dcterms:modified xmlns:dcterms="http://purl.org/dc/terms/" xmlns:xsi="http://www.w3.org/2001/XMLSchema-instance" xsi:type="dcterms:W3CDTF">2026-10-22T21:43:11Z</dcterms:modified>
</cp:coreProperties>
</file>