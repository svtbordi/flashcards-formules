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row r="611">
      <c r="A611" s="9" t="inlineStr">
        <is>
          <t>M611</t>
        </is>
      </c>
      <c r="B611" s="10" t="inlineStr">
        <is>
          <t>Noir – conforme</t>
        </is>
      </c>
      <c r="C611" s="9" t="inlineStr">
        <is>
          <t>BCPST1</t>
        </is>
      </c>
      <c r="D611" s="9" t="inlineStr">
        <is>
          <t>BCPST1 · Statistique 1</t>
        </is>
      </c>
      <c r="E611" s="9" t="inlineStr">
        <is>
          <t>Définition</t>
        </is>
      </c>
      <c r="F611" s="9" t="inlineStr">
        <is>
          <t>Vocabulaire statistique</t>
        </is>
      </c>
      <c r="G611" s="9" t="inlineStr">
        <is>
          <t>On étudie une population finie.</t>
        </is>
      </c>
      <c r="H611" s="10" t="inlineStr">
        <is>
          <t>Définir : individu, taille, échantillon, caractère (qualitatif, quantitatif discret ou continu), modalités, série statistique.</t>
        </is>
      </c>
      <c r="I611" s="9" t="inlineStr">
        <is>
          <t>Population : ensemble fini d'individus ; sa taille est son nombre d'individus ; un échantillon est une partie de la population. Un caractère (ou variable statistique) $x$ associe une donnée à chaque individu : quantitatif si elle est numérique (discret : valeurs isolées ; continu : valeurs dans un intervalle, souvent regroupées en classes), qualitatif sinon. Modalités : valeurs possibles du caractère. Série statistique de taille $n$ : le $n$-uplet $(x_1,\dots,x_n)$ des valeurs observées.</t>
        </is>
      </c>
      <c r="J611" s="9" t="inlineStr">
        <is>
          <t>Programme Statistique 1 : « Caractère. Distinction entre caractères quantitatifs (discrets ou continus) et qualitatifs. Modalités d'un caractère, cas des regroupements par classes. »</t>
        </is>
      </c>
      <c r="K611" s="9" t="n"/>
      <c r="L611" s="9" t="inlineStr">
        <is>
          <t>Ajout d’après le cours « Statistiques »</t>
        </is>
      </c>
      <c r="M611" s="11" t="n"/>
      <c r="N611" s="11" t="n"/>
    </row>
    <row r="612">
      <c r="A612" s="9" t="inlineStr">
        <is>
          <t>M612</t>
        </is>
      </c>
      <c r="B612" s="10" t="inlineStr">
        <is>
          <t>Noir – conforme</t>
        </is>
      </c>
      <c r="C612" s="9" t="inlineStr">
        <is>
          <t>BCPST1</t>
        </is>
      </c>
      <c r="D612" s="9" t="inlineStr">
        <is>
          <t>BCPST1 · Statistique 1</t>
        </is>
      </c>
      <c r="E612" s="9" t="inlineStr">
        <is>
          <t>Définition</t>
        </is>
      </c>
      <c r="F612" s="9" t="inlineStr">
        <is>
          <t>Effectifs et fréquences</t>
        </is>
      </c>
      <c r="G612" s="9" t="inlineStr">
        <is>
          <t>Soit une série $(x_1,\dots,x_n)$ de modalités $a_1&lt;\dots&lt;a_k$.</t>
        </is>
      </c>
      <c r="H612" s="10" t="inlineStr">
        <is>
          <t>Définir l'effectif $n_j$ et la fréquence $f_j$ de $a_j$, ainsi que les effectifs et fréquences cumulés. Que valent $\sum n_j$ et $\sum f_j$ ?</t>
        </is>
      </c>
      <c r="I612" s="9" t="inlineStr">
        <is>
          <t>$n_j$ : nombre d'individus $i$ tels que $x_i=a_j$ ; $f_j=\dfrac{n_j}n$. Effectif (fréquence) cumulé(e) de $a_j$ : nombre (proportion) d'individus tels que $x_i\le a_j$, soit $n_1+\dots+n_j$ ($f_1+\dots+f_j$). $\sum_{j=1}^kn_j=n$ et $\sum_{j=1}^kf_j=1$.</t>
        </is>
      </c>
      <c r="J612" s="9" t="inlineStr">
        <is>
          <t>Programme Statistique 1 : « présentation dans un tableau : effectifs de chaque modalité. Effectifs cumulés, fréquences, fréquences cumulées. »</t>
        </is>
      </c>
      <c r="K612" s="9" t="n"/>
      <c r="L612" s="9" t="inlineStr">
        <is>
          <t>Ajout d’après le cours « Statistiques »</t>
        </is>
      </c>
      <c r="M612" s="11" t="n"/>
      <c r="N612" s="11" t="n"/>
    </row>
    <row r="613">
      <c r="A613" s="9" t="inlineStr">
        <is>
          <t>M613</t>
        </is>
      </c>
      <c r="B613" s="10" t="inlineStr">
        <is>
          <t>Noir – conforme</t>
        </is>
      </c>
      <c r="C613" s="9" t="inlineStr">
        <is>
          <t>BCPST1</t>
        </is>
      </c>
      <c r="D613" s="9" t="inlineStr">
        <is>
          <t>BCPST1 · Statistique 1</t>
        </is>
      </c>
      <c r="E613" s="9" t="inlineStr">
        <is>
          <t>Définition</t>
        </is>
      </c>
      <c r="F613" s="9" t="inlineStr">
        <is>
          <t>Représentations graphiques</t>
        </is>
      </c>
      <c r="G613" s="9" t="inlineStr">
        <is>
          <t>Soit une série statistique d'un caractère quantitatif.</t>
        </is>
      </c>
      <c r="H613" s="10" t="inlineStr">
        <is>
          <t>Quelles représentations graphiques utiliser (caractère discret, regroupé en classes, effectifs cumulés) ?</t>
        </is>
      </c>
      <c r="I613" s="9" t="inlineStr">
        <is>
          <t>Diagramme en bâtons (caractère discret : un bâton de hauteur $n_j$ en chaque modalité $a_j$). Histogramme (classes : rectangles dont l'aire est proportionnelle à l'effectif, donc hauteur = effectif / amplitude). Polygone des effectifs (ou fréquences) cumulés croissants, qui permet de lire médiane, quartiles et déciles. Série double : nuage de points.</t>
        </is>
      </c>
      <c r="J613" s="9" t="inlineStr">
        <is>
          <t>Programme Statistique 1 : « Représentations graphiques. Diagrammes en bâtons, histogrammes, polygones des effectifs cumulés (resp. fréquences cumulées). »</t>
        </is>
      </c>
      <c r="K613" s="9" t="n"/>
      <c r="L613" s="9" t="inlineStr">
        <is>
          <t>Ajout d’après le cours « Statistiques »</t>
        </is>
      </c>
      <c r="M613" s="11" t="n"/>
      <c r="N613" s="11" t="n"/>
    </row>
    <row r="614">
      <c r="A614" s="9" t="inlineStr">
        <is>
          <t>M614</t>
        </is>
      </c>
      <c r="B614" s="10" t="inlineStr">
        <is>
          <t>Noir – conforme</t>
        </is>
      </c>
      <c r="C614" s="9" t="inlineStr">
        <is>
          <t>BCPST1</t>
        </is>
      </c>
      <c r="D614" s="9" t="inlineStr">
        <is>
          <t>BCPST1 · Statistique 1</t>
        </is>
      </c>
      <c r="E614" s="9" t="inlineStr">
        <is>
          <t>Définition</t>
        </is>
      </c>
      <c r="F614" s="9" t="inlineStr">
        <is>
          <t>Mode et moyenne</t>
        </is>
      </c>
      <c r="G614" s="9" t="inlineStr">
        <is>
          <t>Soit une série $(x_1,\dots,x_n)$ de modalités $a_1,\dots,a_k$, d'effectifs $n_j$ et de fréquences $f_j$.</t>
        </is>
      </c>
      <c r="H614" s="10" t="inlineStr">
        <is>
          <t>Définir le mode et la moyenne $\bar x$ (à partir des observations, des effectifs, des fréquences, puis pour des classes $[b_j,c_j[$).</t>
        </is>
      </c>
      <c r="I614" s="9" t="inlineStr">
        <is>
          <t>Mode : modalité d'effectif maximal (classe modale : effectif / amplitude maximal). $\bar x=\dfrac1n\sum_{i=1}^nx_i=\dfrac1n\sum_{j=1}^kn_ja_j=\sum_{j=1}^kf_ja_j$. Pour des classes, on remplace $a_j$ par le centre $\frac{b_j+c_j}2$ (valeur approchée).</t>
        </is>
      </c>
      <c r="J614" s="9" t="inlineStr">
        <is>
          <t>Programme Statistique 1 : « Caractéristiques (empiriques) de position : mode, moyenne $\bar x$ (les calculs se font à partir des observations ou du tableau des effectifs). »</t>
        </is>
      </c>
      <c r="K614" s="9" t="n"/>
      <c r="L614" s="9" t="inlineStr">
        <is>
          <t>Ajout d’après le cours « Statistiques »</t>
        </is>
      </c>
      <c r="M614" s="11" t="n"/>
      <c r="N614" s="11" t="n"/>
    </row>
    <row r="615">
      <c r="A615" s="9" t="inlineStr">
        <is>
          <t>M615</t>
        </is>
      </c>
      <c r="B615" s="10" t="inlineStr">
        <is>
          <t>Noir – conforme</t>
        </is>
      </c>
      <c r="C615" s="9" t="inlineStr">
        <is>
          <t>BCPST1</t>
        </is>
      </c>
      <c r="D615" s="9" t="inlineStr">
        <is>
          <t>BCPST1 · Statistique 1</t>
        </is>
      </c>
      <c r="E615" s="9" t="inlineStr">
        <is>
          <t>Définition</t>
        </is>
      </c>
      <c r="F615" s="9" t="inlineStr">
        <is>
          <t>Médiane, quartiles, déciles</t>
        </is>
      </c>
      <c r="G615" s="9" t="inlineStr">
        <is>
          <t>Soit une série de taille $n$ rangée par valeurs croissantes $x_{(1)}\le\dots\le x_{(n)}$.</t>
        </is>
      </c>
      <c r="H615" s="10" t="inlineStr">
        <is>
          <t>Définir la médiane (selon la parité de $n$), puis les quartiles et déciles.</t>
        </is>
      </c>
      <c r="I615" s="9" t="inlineStr">
        <is>
          <t>Médiane : valeur telle qu'au moins la moitié des individus ont une valeur inférieure ou égale et au moins la moitié une valeur supérieure ou égale. $n$ impair : $x_{((n+1)/2)}$ (individu médian) ; $n$ pair : $\frac12\big(x_{(n/2)}+x_{(n/2+1)}\big)$. Quartiles $Q_1$, $Q_3$ (déciles $D_1$, $D_9$) : valeurs où la fréquence cumulée atteint $25\,\%$, $75\,\%$ ($10\,\%$, $90\,\%$), lues sur le polygone des fréquences cumulées.</t>
        </is>
      </c>
      <c r="J615" s="9" t="inlineStr">
        <is>
          <t>Programme Statistique 1 : « médiane … Modalité de l'individu médian ou moyenne des modalités des deux individus médians selon la parité de n » ; « quartiles, déciles (calculs à partir du polygone des effectifs cumulés ou des fréquences cumulées). »</t>
        </is>
      </c>
      <c r="K615" s="9" t="n"/>
      <c r="L615" s="9" t="inlineStr">
        <is>
          <t>Ajout d’après le cours « Statistiques »</t>
        </is>
      </c>
      <c r="M615" s="11" t="n"/>
      <c r="N615" s="11" t="n"/>
    </row>
    <row r="616">
      <c r="A616" s="9" t="inlineStr">
        <is>
          <t>M616</t>
        </is>
      </c>
      <c r="B616" s="10" t="inlineStr">
        <is>
          <t>Noir – conforme</t>
        </is>
      </c>
      <c r="C616" s="9" t="inlineStr">
        <is>
          <t>BCPST1</t>
        </is>
      </c>
      <c r="D616" s="9" t="inlineStr">
        <is>
          <t>BCPST1 · Statistique 1</t>
        </is>
      </c>
      <c r="E616" s="9" t="inlineStr">
        <is>
          <t>Définition</t>
        </is>
      </c>
      <c r="F616" s="9" t="inlineStr">
        <is>
          <t>Variance, écart-type, étendue</t>
        </is>
      </c>
      <c r="G616" s="9" t="inlineStr">
        <is>
          <t>Soit une série $(x_1,\dots,x_n)$ de moyenne $\bar x$.</t>
        </is>
      </c>
      <c r="H616" s="10" t="inlineStr">
        <is>
          <t>Définir l'étendue, la variance $s_x^2$ et l'écart-type $s_x$. Énoncer la formule de König-Huygens.</t>
        </is>
      </c>
      <c r="I616" s="9" t="inlineStr">
        <is>
          <t>Étendue : $\max x_i-\min x_i$. $s_x^2=\dfrac1n\sum_{i=1}^n(x_i-\bar x)^2$ (moyenne des carrés des écarts à la moyenne) $=\dfrac1n\sum_jn_j(a_j-\bar x)^2$ ; $s_x=\sqrt{s_x^2}$. König-Huygens : $s_x^2=\overline{x^2}-\bar x^2=\dfrac1n\sum x_i^2-\bar x^2$.</t>
        </is>
      </c>
      <c r="J616" s="9" t="inlineStr">
        <is>
          <t>Programme Statistique 1 : « Caractéristiques (empiriques) de dispersion : variance $s_x^2$ et écart-type $s_x$. La formule avec le facteur $\frac1{n-1}$ n'est pas un attendu du programme. »</t>
        </is>
      </c>
      <c r="K616" s="9" t="n"/>
      <c r="L616" s="9" t="inlineStr">
        <is>
          <t>Ajout d’après le cours « Statistiques »</t>
        </is>
      </c>
      <c r="M616" s="11" t="n"/>
      <c r="N616" s="11" t="n"/>
    </row>
    <row r="617">
      <c r="A617" s="9" t="inlineStr">
        <is>
          <t>M617</t>
        </is>
      </c>
      <c r="B617" s="10" t="inlineStr">
        <is>
          <t>Orange – incertain</t>
        </is>
      </c>
      <c r="C617" s="9" t="inlineStr">
        <is>
          <t>BCPST1</t>
        </is>
      </c>
      <c r="D617" s="9" t="inlineStr">
        <is>
          <t>BCPST1 · Statistique 1</t>
        </is>
      </c>
      <c r="E617" s="9" t="inlineStr">
        <is>
          <t>Propriété</t>
        </is>
      </c>
      <c r="F617" s="9" t="inlineStr">
        <is>
          <t>Changement affine de caractère</t>
        </is>
      </c>
      <c r="G617" s="9" t="inlineStr">
        <is>
          <t>Soient $(a,b)\in\mathbb R^2$ et $y_i=ax_i+b$ pour tout $i$.</t>
        </is>
      </c>
      <c r="H617" s="10" t="inlineStr">
        <is>
          <t>Exprimer $\bar y$, $s_y^2$ et $s_y$ en fonction de ceux de $x$.</t>
        </is>
      </c>
      <c r="I617" s="9" t="inlineStr">
        <is>
          <t>$\bar y=a\bar x+b$ ; $s_y^2=a^2s_x^2$ ; $s_y=|a|s_x$ (une translation ne change pas la dispersion).</t>
        </is>
      </c>
      <c r="J617" s="9" t="inlineStr">
        <is>
          <t>Propriétés du cours ; non citées par le programme.</t>
        </is>
      </c>
      <c r="K617" s="9" t="n"/>
      <c r="L617" s="9" t="inlineStr">
        <is>
          <t>Ajout d’après le cours « Statistiques »</t>
        </is>
      </c>
      <c r="M617" s="11" t="n"/>
      <c r="N617" s="11" t="n"/>
    </row>
    <row r="618">
      <c r="A618" s="9" t="inlineStr">
        <is>
          <t>M618</t>
        </is>
      </c>
      <c r="B618" s="10" t="inlineStr">
        <is>
          <t>Noir – conforme</t>
        </is>
      </c>
      <c r="C618" s="9" t="inlineStr">
        <is>
          <t>BCPST1</t>
        </is>
      </c>
      <c r="D618" s="9" t="inlineStr">
        <is>
          <t>BCPST1 · Statistique 1</t>
        </is>
      </c>
      <c r="E618" s="9" t="inlineStr">
        <is>
          <t>Définition</t>
        </is>
      </c>
      <c r="F618" s="9" t="inlineStr">
        <is>
          <t>Série double : point moyen et covariance</t>
        </is>
      </c>
      <c r="G618" s="9" t="inlineStr">
        <is>
          <t>Soit une série double $((x_1,y_1),\dots,(x_n,y_n))$.</t>
        </is>
      </c>
      <c r="H618" s="10" t="inlineStr">
        <is>
          <t>Définir le point moyen du nuage et la covariance $s_{xy}$. Énoncer la formule de König-Huygens pour la covariance.</t>
        </is>
      </c>
      <c r="I618" s="9" t="inlineStr">
        <is>
          <t>Point moyen : $G(\bar x,\bar y)$. $s_{xy}=\dfrac1n\sum_{i=1}^n(x_i-\bar x)(y_i-\bar y)$. König-Huygens : $s_{xy}=\overline{xy}-\bar x\,\bar y=\dfrac1n\sum x_iy_i-\bar x\bar y$ (moyenne du produit moins produit des moyennes). $s_{xx}=s_x^2$.</t>
        </is>
      </c>
      <c r="J618" s="9" t="inlineStr">
        <is>
          <t>Programme Statistique 1 : « Représentation par un nuage de points de ℝ². Point moyen $(\bar x,\bar y)$ du nuage. Caractéristiques d'une série statistique double : covariance $s_{xy}$. »</t>
        </is>
      </c>
      <c r="K618" s="9" t="n"/>
      <c r="L618" s="9" t="inlineStr">
        <is>
          <t>Ajout d’après le cours « Statistiques »</t>
        </is>
      </c>
      <c r="M618" s="11" t="n"/>
      <c r="N618" s="11" t="n"/>
    </row>
    <row r="619">
      <c r="A619" s="9" t="inlineStr">
        <is>
          <t>M619</t>
        </is>
      </c>
      <c r="B619" s="10" t="inlineStr">
        <is>
          <t>Noir – conforme</t>
        </is>
      </c>
      <c r="C619" s="9" t="inlineStr">
        <is>
          <t>BCPST1</t>
        </is>
      </c>
      <c r="D619" s="9" t="inlineStr">
        <is>
          <t>BCPST1 · Statistique 1</t>
        </is>
      </c>
      <c r="E619" s="9" t="inlineStr">
        <is>
          <t>Définition</t>
        </is>
      </c>
      <c r="F619" s="9" t="inlineStr">
        <is>
          <t>Coefficient de corrélation linéaire</t>
        </is>
      </c>
      <c r="G619" s="9" t="inlineStr">
        <is>
          <t>Soit une série double de caractères $x$, $y$ non constants.</t>
        </is>
      </c>
      <c r="H619" s="10" t="inlineStr">
        <is>
          <t>Définir $r_{xy}$. Quelles sont ses valeurs possibles et son interprétation ?</t>
        </is>
      </c>
      <c r="I619" s="9" t="inlineStr">
        <is>
          <t>$r_{xy}=\dfrac{s_{xy}}{s_xs_y}$, sans unité, avec $-1\le r_{xy}\le1$. $|r_{xy}|$ proche de $1$ : nuage presque aligné (relation presque affine), droite de pente du signe de $r_{xy}$ ; $r_{xy}$ proche de $0$ : pas de lien affine (il peut exister un lien non affine).</t>
        </is>
      </c>
      <c r="J619" s="9" t="inlineStr">
        <is>
          <t>Programme Statistique 1 : « coefficient de corrélation $r_{xy}$ ».</t>
        </is>
      </c>
      <c r="K619" s="9" t="n"/>
      <c r="L619" s="9" t="inlineStr">
        <is>
          <t>Ajout d’après le cours « Statistiques »</t>
        </is>
      </c>
      <c r="M619" s="11" t="n"/>
      <c r="N619" s="11" t="n"/>
    </row>
    <row r="620">
      <c r="A620" s="9" t="inlineStr">
        <is>
          <t>M620</t>
        </is>
      </c>
      <c r="B620" s="10" t="inlineStr">
        <is>
          <t>Noir – conforme</t>
        </is>
      </c>
      <c r="C620" s="9" t="inlineStr">
        <is>
          <t>BCPST1</t>
        </is>
      </c>
      <c r="D620" s="9" t="inlineStr">
        <is>
          <t>BCPST1 · Statistique 1</t>
        </is>
      </c>
      <c r="E620" s="9" t="inlineStr">
        <is>
          <t>Théorème</t>
        </is>
      </c>
      <c r="F620" s="9" t="inlineStr">
        <is>
          <t>Ajustement affine par les moindres carrés</t>
        </is>
      </c>
      <c r="G620" s="9" t="inlineStr">
        <is>
          <t>Soit une série double $(x_i,y_i)_{1\le i\le n}$ avec $x$ non constant.</t>
        </is>
      </c>
      <c r="H620" s="10" t="inlineStr">
        <is>
          <t>Quelle est la droite de régression de $y$ en $x$ ? Que faire si le nuage n'est pas allongé selon une droite ?</t>
        </is>
      </c>
      <c r="I620" s="9" t="inlineStr">
        <is>
          <t>La droite $y=ax+b$ qui minimise $\sum_{i=1}^n\big(y_i-(ax_i+b)\big)^2$ a pour coefficients $a=\dfrac{s_{xy}}{s_x^2}$ et $b=\bar y-a\bar x$ : elle passe par le point moyen $G(\bar x,\bar y)$. Si le nuage n'est pas « affine », on change de variable (par exemple $z=\ln y$ pour une croissance exponentielle) avant d'ajuster.</t>
        </is>
      </c>
      <c r="J620" s="9" t="inlineStr">
        <is>
          <t>Programme Statistique 1 : « Approche descriptive de l'ajustement affine selon la méthode des moindres carrés. L'optimalité de l'ajustement est admise » ; « changements de variables ».</t>
        </is>
      </c>
      <c r="K620" s="9" t="n"/>
      <c r="L620" s="9" t="inlineStr">
        <is>
          <t>Ajout d’après le cours « Statistiques »</t>
        </is>
      </c>
      <c r="M620" s="11" t="n"/>
      <c r="N620" s="11" t="n"/>
    </row>
    <row r="621">
      <c r="A621" s="9" t="inlineStr">
        <is>
          <t>M621</t>
        </is>
      </c>
      <c r="B621" s="10" t="inlineStr">
        <is>
          <t>Noir – conforme</t>
        </is>
      </c>
      <c r="C621" s="9" t="inlineStr">
        <is>
          <t>BCPST1</t>
        </is>
      </c>
      <c r="D621" s="9" t="inlineStr">
        <is>
          <t>BCPST1 · Outils 3 – Trigonométrie</t>
        </is>
      </c>
      <c r="E621" s="9" t="inlineStr">
        <is>
          <t>Méthode</t>
        </is>
      </c>
      <c r="F621" s="9" t="inlineStr">
        <is>
          <t>Équations trigonométriques cos x = c, sin x = s, tan x = t</t>
        </is>
      </c>
      <c r="G621" s="9" t="inlineStr">
        <is>
          <t>Soient $a$ un réel et $x$ l'inconnue réelle.</t>
        </is>
      </c>
      <c r="H621" s="10" t="inlineStr">
        <is>
          <t>Résoudre $\cos x=\cos a$, $\sin x=\sin a$, $\tan x=\tan a$. Comment exprimer une solution de $\cos x=c$, $\sin x=s$, $\tan x=t$ ?</t>
        </is>
      </c>
      <c r="I621" s="9" t="inlineStr">
        <is>
          <t>$\cos x=\cos a\iff x\equiv a\ [2\pi]$ ou $x\equiv-a\ [2\pi]$ ; $\sin x=\sin a\iff x\equiv a\ [2\pi]$ ou $x\equiv\pi-a\ [2\pi]$ ; $\tan x=\tan a\iff x\equiv a\ [\pi]$ (avec $x,a\not\equiv\frac\pi2\ [\pi]$). Pour $c\in[-1,1]$, $\arccos c$ est l'unique solution de $\cos x=c$ dans $[0,\pi]$ ; pour $s\in[-1,1]$, $\arcsin s$ l'unique solution de $\sin x=s$ dans $[-\frac\pi2,\frac\pi2]$ ; pour $t\in\mathbb R$, $\arctan t$ l'unique solution de $\tan x=t$ dans $]-\frac\pi2,\frac\pi2[$.</t>
        </is>
      </c>
      <c r="J621" s="9" t="inlineStr">
        <is>
          <t>Programme Outils 3 : « Résolution d'équations trigonométriques simples : cos(x) = c, sin(x) = s et tan(x) = t. Notations arccos, arcsin, arctan … définitions en termes de solutions d'équations dans certains intervalles. »</t>
        </is>
      </c>
      <c r="K621" s="9" t="n"/>
      <c r="L621" s="9" t="inlineStr">
        <is>
          <t>Ajout d’après le TD « Trigonométrie »</t>
        </is>
      </c>
      <c r="M621" s="11" t="n"/>
      <c r="N621" s="11" t="n"/>
    </row>
    <row r="622">
      <c r="A622" s="9" t="inlineStr">
        <is>
          <t>M622</t>
        </is>
      </c>
      <c r="B622" s="10" t="inlineStr">
        <is>
          <t>Noir – conforme</t>
        </is>
      </c>
      <c r="C622" s="9" t="inlineStr">
        <is>
          <t>BCPST1</t>
        </is>
      </c>
      <c r="D622" s="9" t="inlineStr">
        <is>
          <t>BCPST1 · Probabilités 2 – Variables sur un univers fini</t>
        </is>
      </c>
      <c r="E622" s="9" t="inlineStr">
        <is>
          <t>Définition</t>
        </is>
      </c>
      <c r="F622" s="9" t="inlineStr">
        <is>
          <t>Variable aléatoire finie et sa loi</t>
        </is>
      </c>
      <c r="G622" s="9" t="inlineStr">
        <is>
          <t>Soit $(\Omega,P)$ un espace probabilisé fini.</t>
        </is>
      </c>
      <c r="H622" s="10" t="inlineStr">
        <is>
          <t>Qu'est-ce qu'une variable aléatoire $X$ sur $\Omega$ ? Que désignent $(X\in I)$, $(X=x)$ ? Qu'est-ce que la loi de $X$ ?</t>
        </is>
      </c>
      <c r="I622" s="9" t="inlineStr">
        <is>
          <t>Une application $X:\Omega\to\mathbb R$. $(X\in I)=\{\omega\in\Omega,\ X(\omega)\in I\}$, $(X=x)$, $(X\le x)$… sont des événements. La famille $(X=x)_{x\in X(\Omega)}$ est un système complet d'événements. Loi de $X$ : la donnée de $X(\Omega)$ et des $P(X=x)$, $x\in X(\Omega)$, avec $\sum_{x\in X(\Omega)}P(X=x)=1$.</t>
        </is>
      </c>
      <c r="J622" s="9" t="inlineStr">
        <is>
          <t>Programme Probabilités 2 : « On nomme variable aléatoire sur un univers Ω (fini) toute application de Ω dans ℝ » ; « Système complet d'événements $(X=x)$ » ; « La loi … est l'application $x\mapsto P(X=x)$. »</t>
        </is>
      </c>
      <c r="K622" s="9" t="n"/>
      <c r="L622" s="9" t="inlineStr">
        <is>
          <t>Ajout d’après le cours « Variables aléatoires »</t>
        </is>
      </c>
      <c r="M622" s="11" t="n"/>
      <c r="N622" s="11" t="n"/>
    </row>
    <row r="623">
      <c r="A623" s="9" t="inlineStr">
        <is>
          <t>M623</t>
        </is>
      </c>
      <c r="B623" s="10" t="inlineStr">
        <is>
          <t>Noir – conforme</t>
        </is>
      </c>
      <c r="C623" s="9" t="inlineStr">
        <is>
          <t>BCPST1</t>
        </is>
      </c>
      <c r="D623" s="9" t="inlineStr">
        <is>
          <t>BCPST1 · Probabilités 2 – Variables sur un univers fini</t>
        </is>
      </c>
      <c r="E623" s="9" t="inlineStr">
        <is>
          <t>Définition</t>
        </is>
      </c>
      <c r="F623" s="9" t="inlineStr">
        <is>
          <t>Variables indicatrices</t>
        </is>
      </c>
      <c r="G623" s="9" t="inlineStr">
        <is>
          <t>Soient $A$ et $B$ deux événements de $\Omega$.</t>
        </is>
      </c>
      <c r="H623" s="10" t="inlineStr">
        <is>
          <t>Définir $\mathbb 1_A$. Exprimer $\mathbb 1_{A\cap B}$, $\mathbb 1_{\bar A}$, $\mathbb 1_{A\cup B}$. Quelle est la loi de $\mathbb 1_A$ et son espérance ?</t>
        </is>
      </c>
      <c r="I623" s="9" t="inlineStr">
        <is>
          <t>$\mathbb 1_A(\omega)=1$ si $\omega\in A$, $0$ sinon. $\mathbb 1_{A\cap B}=\mathbb 1_A\mathbb 1_B=\min(\mathbb 1_A,\mathbb 1_B)$ ; $\mathbb 1_{\bar A}=1-\mathbb 1_A$ ; $\mathbb 1_{A\cup B}=\max(\mathbb 1_A,\mathbb 1_B)=\mathbb 1_A+\mathbb 1_B-\mathbb 1_A\mathbb 1_B$. $\mathbb 1_A\sim\mathcal B(P(A))$, donc $E(\mathbb 1_A)=P(A)$.</t>
        </is>
      </c>
      <c r="J623" s="9" t="inlineStr">
        <is>
          <t>Programme Probabilités 2 : « Exemple des fonctions indicatrices. Notation $\mathbb 1_A$. Règles de calcul : intersection, union, complémentaire » ; « $E(\mathbb 1_A)=P(A)$ ».</t>
        </is>
      </c>
      <c r="K623" s="9" t="n"/>
      <c r="L623" s="9" t="inlineStr">
        <is>
          <t>Ajout d’après le cours « Variables aléatoires »</t>
        </is>
      </c>
      <c r="M623" s="11" t="n"/>
      <c r="N623" s="11" t="n"/>
    </row>
    <row r="624">
      <c r="A624" s="9" t="inlineStr">
        <is>
          <t>M624</t>
        </is>
      </c>
      <c r="B624" s="10" t="inlineStr">
        <is>
          <t>Noir – conforme</t>
        </is>
      </c>
      <c r="C624" s="9" t="inlineStr">
        <is>
          <t>BCPST1</t>
        </is>
      </c>
      <c r="D624" s="9" t="inlineStr">
        <is>
          <t>BCPST1 · Probabilités 2 – Variables sur un univers fini</t>
        </is>
      </c>
      <c r="E624" s="9" t="inlineStr">
        <is>
          <t>Définition</t>
        </is>
      </c>
      <c r="F624" s="9" t="inlineStr">
        <is>
          <t>Fonction de répartition d’une variable finie</t>
        </is>
      </c>
      <c r="G624" s="9" t="inlineStr">
        <is>
          <t>Soit $X$ une variable aléatoire finie.</t>
        </is>
      </c>
      <c r="H624" s="10" t="inlineStr">
        <is>
          <t>Définir $F_X$. Quelle est son allure ? Comment retrouver la loi de $X$ à partir de $F_X$ ?</t>
        </is>
      </c>
      <c r="I624" s="9" t="inlineStr">
        <is>
          <t>$F_X(t)=P(X\le t)=\sum_{x\in X(\Omega),\,x\le t}P(X=x)$ pour $t\in\mathbb R$. C'est une fonction en escalier croissante, nulle avant la plus petite valeur, égale à $1$ après la plus grande ; elle saute en chaque $x\in X(\Omega)$ d'une hauteur $P(X=x)$. Si $x_1&lt;\dots&lt;x_n$ sont les valeurs : $P(X=x_1)=F_X(x_1)$, $P(X=x_i)=F_X(x_i)-F_X(x_{i-1})$ ; $P(a&lt;X\le b)=F_X(b)-F_X(a)$.</t>
        </is>
      </c>
      <c r="J624" s="9" t="inlineStr">
        <is>
          <t>Programme Probabilités 2 : « La fonction de répartition de $X$ … $F_X(t)=P(X\le t)$ … représentation en escaliers. Les étudiants doivent savoir déterminer la loi d'une variable aléatoire à partir de sa fonction de répartition. »</t>
        </is>
      </c>
      <c r="K624" s="9" t="n"/>
      <c r="L624" s="9" t="inlineStr">
        <is>
          <t>Ajout d’après le cours « Variables aléatoires »</t>
        </is>
      </c>
      <c r="M624" s="11" t="n"/>
      <c r="N624" s="11" t="n"/>
    </row>
    <row r="625">
      <c r="A625" s="9" t="inlineStr">
        <is>
          <t>M625</t>
        </is>
      </c>
      <c r="B625" s="10" t="inlineStr">
        <is>
          <t>Noir – conforme</t>
        </is>
      </c>
      <c r="C625" s="9" t="inlineStr">
        <is>
          <t>BCPST1</t>
        </is>
      </c>
      <c r="D625" s="9" t="inlineStr">
        <is>
          <t>BCPST1 · Probabilités 2 – Variables sur un univers fini</t>
        </is>
      </c>
      <c r="E625" s="9" t="inlineStr">
        <is>
          <t>Propriété</t>
        </is>
      </c>
      <c r="F625" s="9" t="inlineStr">
        <is>
          <t>Espérance : définition et propriétés</t>
        </is>
      </c>
      <c r="G625" s="9" t="inlineStr">
        <is>
          <t>Soient $X$, $Y$ des variables aléatoires finies, $a,b\in\mathbb R$ et $u$ une fonction définie sur $X(\Omega)$.</t>
        </is>
      </c>
      <c r="H625" s="10" t="inlineStr">
        <is>
          <t>Définir $E(X)$. Donner ses propriétés (linéarité, positivité, croissance) et le théorème de transfert.</t>
        </is>
      </c>
      <c r="I625" s="9" t="inlineStr">
        <is>
          <t>$E(X)=\sum_{x\in X(\Omega)}xP(X=x)$ (moyenne des valeurs pondérée par leurs probabilités). Linéarité : $E(aX+bY)=aE(X)+bE(Y)$ ; positivité : $X\ge0\Rightarrow E(X)\ge0$ ; croissance : $X\le Y\Rightarrow E(X)\le E(Y)$. Transfert : $E(u(X))=\sum_{x\in X(\Omega)}u(x)P(X=x)$ (ex. $E(X^2)=\sum x^2P(X=x)$). $X$ est centrée si $E(X)=0$.</t>
        </is>
      </c>
      <c r="J625" s="9" t="inlineStr">
        <is>
          <t>Programme Probabilités 2 : « Espérance … variable aléatoire centrée. On démontre que l'espérance est positive et croissante. La linéarité est énoncée » ; « Théorème de transfert. »</t>
        </is>
      </c>
      <c r="K625" s="9" t="n"/>
      <c r="L625" s="9" t="inlineStr">
        <is>
          <t>Ajout d’après le cours « Variables aléatoires »</t>
        </is>
      </c>
      <c r="M625" s="11" t="n"/>
      <c r="N625" s="11" t="n"/>
    </row>
    <row r="626">
      <c r="A626" s="9" t="inlineStr">
        <is>
          <t>M626</t>
        </is>
      </c>
      <c r="B626" s="10" t="inlineStr">
        <is>
          <t>Noir – conforme</t>
        </is>
      </c>
      <c r="C626" s="9" t="inlineStr">
        <is>
          <t>BCPST1</t>
        </is>
      </c>
      <c r="D626" s="9" t="inlineStr">
        <is>
          <t>BCPST1 · Probabilités 2 – Variables sur un univers fini</t>
        </is>
      </c>
      <c r="E626" s="9" t="inlineStr">
        <is>
          <t>Définition</t>
        </is>
      </c>
      <c r="F626" s="9" t="inlineStr">
        <is>
          <t>Variance, écart-type, variable centrée réduite</t>
        </is>
      </c>
      <c r="G626" s="9" t="inlineStr">
        <is>
          <t>Soit $X$ une variable aléatoire finie.</t>
        </is>
      </c>
      <c r="H626" s="10" t="inlineStr">
        <is>
          <t>Définir $V(X)$ et $\sigma(X)$. Énoncer la formule de König-Huygens. Qu'est-ce qu'une variable centrée réduite ?</t>
        </is>
      </c>
      <c r="I626" s="9" t="inlineStr">
        <is>
          <t>$V(X)=E\big((X-E(X))^2\big)=\sum_x(x-E(X))^2P(X=x)\ge0$ ; $\sigma(X)=\sqrt{V(X)}$ (même unité que $X$). König-Huygens : $V(X)=E(X^2)-E(X)^2$. $V(aX+b)=a^2V(X)$. Centrée réduite : $E(X)=0$ et $V(X)=1$ ; si $\sigma(X)&gt;0$, $\dfrac{X-E(X)}{\sigma(X)}$ est centrée réduite.</t>
        </is>
      </c>
      <c r="J626" s="9" t="inlineStr">
        <is>
          <t>Programme Probabilités 2 : « Moments. Variance V(X). Formule de König-Huygens. Écart-type σ(X). V(aX+b)=a²V(X). Variable centrée réduite. »</t>
        </is>
      </c>
      <c r="K626" s="9" t="n"/>
      <c r="L626" s="9" t="inlineStr">
        <is>
          <t>Ajout d’après le cours « Variables aléatoires »</t>
        </is>
      </c>
      <c r="M626" s="11" t="n"/>
      <c r="N626" s="11" t="n"/>
    </row>
    <row r="627">
      <c r="A627" s="9" t="inlineStr">
        <is>
          <t>M627</t>
        </is>
      </c>
      <c r="B627" s="10" t="inlineStr">
        <is>
          <t>Noir – conforme</t>
        </is>
      </c>
      <c r="C627" s="9" t="inlineStr">
        <is>
          <t>BCPST1</t>
        </is>
      </c>
      <c r="D627" s="9" t="inlineStr">
        <is>
          <t>BCPST1 · Probabilités 2 – Variables sur un univers fini</t>
        </is>
      </c>
      <c r="E627" s="9" t="inlineStr">
        <is>
          <t>Définition</t>
        </is>
      </c>
      <c r="F627" s="9" t="inlineStr">
        <is>
          <t>Indépendance de variables aléatoires finies</t>
        </is>
      </c>
      <c r="G627" s="9" t="inlineStr">
        <is>
          <t>Soient $X$, $Y$ (et $X_1,\dots,X_n$) des variables aléatoires finies sur $\Omega$.</t>
        </is>
      </c>
      <c r="H627" s="10" t="inlineStr">
        <is>
          <t>Définir l'indépendance de $X$ et $Y$, puis l'indépendance mutuelle de $X_1,\dots,X_n$. Que vaut alors $E(XY)$, $V(X+Y)$ ?</t>
        </is>
      </c>
      <c r="I627" s="9" t="inlineStr">
        <is>
          <t>$X$ et $Y$ indépendantes : $\forall(x,y)\in X(\Omega)\times Y(\Omega)$, $P\big((X=x)\cap(Y=y)\big)=P(X=x)P(Y=y)$. Mutuellement indépendantes : $P\big(\bigcap_i(X_i=x_i)\big)=\prod_iP(X_i=x_i)$ pour tous $x_i\in X_i(\Omega)$. Si $X$, $Y$ indépendantes : $E(XY)=E(X)E(Y)$ et $V(X+Y)=V(X)+V(Y)$ ; plus généralement $V(X_1+\dots+X_n)=\sum V(X_i)$ si les $X_i$ sont indépendantes.</t>
        </is>
      </c>
      <c r="J627" s="9" t="inlineStr">
        <is>
          <t>Programme Probabilités 2 : « Indépendance de deux variables aléatoires » ; « Généralisation : indépendance (mutuelle) de n variables aléatoires » ; « Si X et Y sont indépendantes, espérance de XY et variance de X+Y. Généralisation au cas de n variables. »</t>
        </is>
      </c>
      <c r="K627" s="9" t="n"/>
      <c r="L627" s="9" t="inlineStr">
        <is>
          <t>Ajout d’après le cours « Variables aléatoires »</t>
        </is>
      </c>
      <c r="M627" s="11" t="n"/>
      <c r="N627" s="11" t="n"/>
    </row>
    <row r="628">
      <c r="A628" s="9" t="inlineStr">
        <is>
          <t>M628</t>
        </is>
      </c>
      <c r="B628" s="10" t="inlineStr">
        <is>
          <t>Noir – conforme</t>
        </is>
      </c>
      <c r="C628" s="9" t="inlineStr">
        <is>
          <t>BCPST1</t>
        </is>
      </c>
      <c r="D628" s="9" t="inlineStr">
        <is>
          <t>BCPST1 · Probabilités 2 – Variables sur un univers fini</t>
        </is>
      </c>
      <c r="E628" s="9" t="inlineStr">
        <is>
          <t>Propriété</t>
        </is>
      </c>
      <c r="F628" s="9" t="inlineStr">
        <is>
          <t>Sous-familles et lemme des coalitions</t>
        </is>
      </c>
      <c r="G628" s="9" t="inlineStr">
        <is>
          <t>Soient $X_1,\dots,X_n,X_{n+1},\dots,X_{n+p}$ des variables aléatoires mutuellement indépendantes.</t>
        </is>
      </c>
      <c r="H628" s="10" t="inlineStr">
        <is>
          <t>Que dire d'une sous-famille ? Énoncer le lemme des coalitions.</t>
        </is>
      </c>
      <c r="I628" s="9" t="inlineStr">
        <is>
          <t>Toute sous-famille est formée de variables mutuellement indépendantes. Lemme des coalitions : $u(X_1,\dots,X_n)$ et $v(X_{n+1},\dots,X_{n+p})$ sont indépendantes ; plus généralement $u_1(X_1),\dots,u_n(X_n)$ sont mutuellement indépendantes.</t>
        </is>
      </c>
      <c r="J628" s="9" t="inlineStr">
        <is>
          <t>Programme Probabilités 2 : « Propriétés de l'indépendance mutuelle (admises) : toute sous-famille … ; lemme des coalitions. »</t>
        </is>
      </c>
      <c r="K628" s="9" t="n"/>
      <c r="L628" s="9" t="inlineStr">
        <is>
          <t>Ajout d’après le cours « Variables aléatoires »</t>
        </is>
      </c>
      <c r="M628" s="11" t="n"/>
      <c r="N628" s="11" t="n"/>
    </row>
  </sheetData>
  <autoFilter ref="A1:N461"/>
  <dataValidations count="1">
    <dataValidation sqref="M2:M628"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row r="67">
      <c r="A67" s="9" t="inlineStr">
        <is>
          <t>F066</t>
        </is>
      </c>
      <c r="B67" s="10" t="inlineStr">
        <is>
          <t>Noir – conforme</t>
        </is>
      </c>
      <c r="C67" s="9" t="inlineStr">
        <is>
          <t>Trigonométrie</t>
        </is>
      </c>
      <c r="D67" s="9" t="inlineStr">
        <is>
          <t>$\cos\left(\frac\pi2\right)$</t>
        </is>
      </c>
      <c r="E67" s="9" t="n"/>
      <c r="F67" s="10" t="inlineStr">
        <is>
          <t>Donner la valeur exacte de $\cos\left(\frac\pi2\right)$.</t>
        </is>
      </c>
      <c r="G67" s="9" t="inlineStr">
        <is>
          <t>$0$</t>
        </is>
      </c>
      <c r="H67" s="9" t="inlineStr">
        <is>
          <t>Outils 3 : « Définition de cos(θ), sin(θ) et tan(θ). » Valeurs remarquables, prérequis du lycée.</t>
        </is>
      </c>
      <c r="I67" s="9" t="n"/>
      <c r="J67" s="9" t="n"/>
      <c r="K67" s="9" t="inlineStr">
        <is>
          <t>Ajout d’après le formulaire de trigonométrie</t>
        </is>
      </c>
      <c r="L67" s="11" t="n"/>
      <c r="M67" s="11" t="n"/>
    </row>
    <row r="68">
      <c r="A68" s="9" t="inlineStr">
        <is>
          <t>F067</t>
        </is>
      </c>
      <c r="B68" s="10" t="inlineStr">
        <is>
          <t>Noir – conforme</t>
        </is>
      </c>
      <c r="C68" s="9" t="inlineStr">
        <is>
          <t>Trigonométrie</t>
        </is>
      </c>
      <c r="D68" s="9" t="inlineStr">
        <is>
          <t>$\sin\left(\frac\pi2\right)$</t>
        </is>
      </c>
      <c r="E68" s="9" t="n"/>
      <c r="F68" s="10" t="inlineStr">
        <is>
          <t>Donner la valeur exacte de $\sin\left(\frac\pi2\right)$.</t>
        </is>
      </c>
      <c r="G68" s="9" t="inlineStr">
        <is>
          <t>$1$</t>
        </is>
      </c>
      <c r="H68" s="9" t="inlineStr">
        <is>
          <t>Outils 3 : « Définition de cos(θ), sin(θ) et tan(θ). » Valeurs remarquables, prérequis du lycée.</t>
        </is>
      </c>
      <c r="I68" s="9" t="n"/>
      <c r="J68" s="9" t="n"/>
      <c r="K68" s="9" t="inlineStr">
        <is>
          <t>Ajout d’après le formulaire de trigonométrie</t>
        </is>
      </c>
      <c r="L68" s="11" t="n"/>
      <c r="M68" s="11" t="n"/>
    </row>
    <row r="69">
      <c r="A69" s="9" t="inlineStr">
        <is>
          <t>F068</t>
        </is>
      </c>
      <c r="B69" s="10" t="inlineStr">
        <is>
          <t>Noir – conforme</t>
        </is>
      </c>
      <c r="C69" s="9" t="inlineStr">
        <is>
          <t>Trigonométrie</t>
        </is>
      </c>
      <c r="D69" s="9" t="inlineStr">
        <is>
          <t>$\cos\pi$</t>
        </is>
      </c>
      <c r="E69" s="9" t="n"/>
      <c r="F69" s="10" t="inlineStr">
        <is>
          <t>Donner la valeur exacte de $\cos\pi$.</t>
        </is>
      </c>
      <c r="G69" s="9" t="inlineStr">
        <is>
          <t>$-1$</t>
        </is>
      </c>
      <c r="H69" s="9" t="inlineStr">
        <is>
          <t>Outils 3 : « Définition de cos(θ), sin(θ) et tan(θ). » Valeurs remarquables, prérequis du lycée.</t>
        </is>
      </c>
      <c r="I69" s="9" t="n"/>
      <c r="J69" s="9" t="n"/>
      <c r="K69" s="9" t="inlineStr">
        <is>
          <t>Ajout d’après le formulaire de trigonométrie</t>
        </is>
      </c>
      <c r="L69" s="11" t="n"/>
      <c r="M69" s="11" t="n"/>
    </row>
    <row r="70">
      <c r="A70" s="9" t="inlineStr">
        <is>
          <t>F069</t>
        </is>
      </c>
      <c r="B70" s="10" t="inlineStr">
        <is>
          <t>Noir – conforme</t>
        </is>
      </c>
      <c r="C70" s="9" t="inlineStr">
        <is>
          <t>Trigonométrie</t>
        </is>
      </c>
      <c r="D70" s="9" t="inlineStr">
        <is>
          <t>$\sin\pi$</t>
        </is>
      </c>
      <c r="E70" s="9" t="n"/>
      <c r="F70" s="10" t="inlineStr">
        <is>
          <t>Donner la valeur exacte de $\sin\pi$.</t>
        </is>
      </c>
      <c r="G70" s="9" t="inlineStr">
        <is>
          <t>$0$</t>
        </is>
      </c>
      <c r="H70" s="9" t="inlineStr">
        <is>
          <t>Outils 3 : « Définition de cos(θ), sin(θ) et tan(θ). » Valeurs remarquables, prérequis du lycée.</t>
        </is>
      </c>
      <c r="I70" s="9" t="n"/>
      <c r="J70" s="9" t="n"/>
      <c r="K70" s="9" t="inlineStr">
        <is>
          <t>Ajout d’après le formulaire de trigonométrie</t>
        </is>
      </c>
      <c r="L70" s="11" t="n"/>
      <c r="M70" s="11" t="n"/>
    </row>
    <row r="71">
      <c r="A71" s="9" t="inlineStr">
        <is>
          <t>F070</t>
        </is>
      </c>
      <c r="B71" s="10" t="inlineStr">
        <is>
          <t>Noir – conforme</t>
        </is>
      </c>
      <c r="C71" s="9" t="inlineStr">
        <is>
          <t>Trigonométrie</t>
        </is>
      </c>
      <c r="D71" s="9" t="inlineStr">
        <is>
          <t>$\cos(a+2\pi)$</t>
        </is>
      </c>
      <c r="E71" s="9" t="inlineStr">
        <is>
          <t>Soit $a$ un réel.</t>
        </is>
      </c>
      <c r="F71" s="10" t="inlineStr">
        <is>
          <t>Compléter : $\cos(a+2\pi)$ $=\;\dots$</t>
        </is>
      </c>
      <c r="G71" s="9" t="inlineStr">
        <is>
          <t>$\cos a$ ($\cos$ et $\sin$ sont $2\pi$-périodiques)</t>
        </is>
      </c>
      <c r="H71" s="9" t="inlineStr">
        <is>
          <t>Outils 3 : « Formules découlant des symétries de cos, sin et tan » ; « Périodicité et symétries ».</t>
        </is>
      </c>
      <c r="I71" s="9" t="n"/>
      <c r="J71" s="9" t="n"/>
      <c r="K71" s="9" t="inlineStr">
        <is>
          <t>Ajout d’après le formulaire de trigonométrie</t>
        </is>
      </c>
      <c r="L71" s="11" t="n"/>
      <c r="M71" s="11" t="n"/>
    </row>
    <row r="72">
      <c r="A72" s="9" t="inlineStr">
        <is>
          <t>F071</t>
        </is>
      </c>
      <c r="B72" s="10" t="inlineStr">
        <is>
          <t>Noir – conforme</t>
        </is>
      </c>
      <c r="C72" s="9" t="inlineStr">
        <is>
          <t>Trigonométrie</t>
        </is>
      </c>
      <c r="D72" s="9" t="inlineStr">
        <is>
          <t>$\tan\left(\frac\pi2-a\right)$</t>
        </is>
      </c>
      <c r="E72" s="9" t="inlineStr">
        <is>
          <t>Soit $a$ un réel tel que $\tan a$ et $\tan\left(\frac\pi2-a\right)$ soient définis et $\tan a\neq0$.</t>
        </is>
      </c>
      <c r="F72" s="10" t="inlineStr">
        <is>
          <t>Compléter : $\tan\left(\frac\pi2-a\right)$ $=\;\dots$</t>
        </is>
      </c>
      <c r="G72" s="9" t="inlineStr">
        <is>
          <t>$\dfrac1{\tan a}$</t>
        </is>
      </c>
      <c r="H72" s="9" t="inlineStr">
        <is>
          <t>Outils 3 : « Formules découlant des symétries de cos, sin et tan » ; « Périodicité et symétries ».</t>
        </is>
      </c>
      <c r="I72" s="9" t="n"/>
      <c r="J72" s="9" t="n"/>
      <c r="K72" s="9" t="inlineStr">
        <is>
          <t>Ajout d’après le formulaire de trigonométrie</t>
        </is>
      </c>
      <c r="L72" s="11" t="n"/>
      <c r="M72" s="11" t="n"/>
    </row>
    <row r="73">
      <c r="A73" s="9" t="inlineStr">
        <is>
          <t>F072</t>
        </is>
      </c>
      <c r="B73" s="10" t="inlineStr">
        <is>
          <t>Noir – conforme</t>
        </is>
      </c>
      <c r="C73" s="9" t="inlineStr">
        <is>
          <t>Trigonométrie</t>
        </is>
      </c>
      <c r="D73" s="9" t="inlineStr">
        <is>
          <t>$\cos x=0$</t>
        </is>
      </c>
      <c r="E73" s="9" t="inlineStr">
        <is>
          <t>Soit $x$ un réel.</t>
        </is>
      </c>
      <c r="F73" s="10" t="inlineStr">
        <is>
          <t>Résoudre $\cos x=0$.</t>
        </is>
      </c>
      <c r="G73" s="9" t="inlineStr">
        <is>
          <t>$x=\dfrac\pi2+k\pi$, $k\in\mathbb Z$</t>
        </is>
      </c>
      <c r="H73" s="9" t="inlineStr">
        <is>
          <t>Outils 3 : « Résolution d'équations trigonométriques simples : cos(x) = c, sin(x) = s. »</t>
        </is>
      </c>
      <c r="I73" s="9" t="n"/>
      <c r="J73" s="9" t="n"/>
      <c r="K73" s="9" t="inlineStr">
        <is>
          <t>Ajout d’après le formulaire de trigonométrie</t>
        </is>
      </c>
      <c r="L73" s="11" t="n"/>
      <c r="M73" s="11" t="n"/>
    </row>
    <row r="74">
      <c r="A74" s="9" t="inlineStr">
        <is>
          <t>F073</t>
        </is>
      </c>
      <c r="B74" s="10" t="inlineStr">
        <is>
          <t>Noir – conforme</t>
        </is>
      </c>
      <c r="C74" s="9" t="inlineStr">
        <is>
          <t>Trigonométrie</t>
        </is>
      </c>
      <c r="D74" s="9" t="inlineStr">
        <is>
          <t>$\sin x=0$</t>
        </is>
      </c>
      <c r="E74" s="9" t="inlineStr">
        <is>
          <t>Soit $x$ un réel.</t>
        </is>
      </c>
      <c r="F74" s="10" t="inlineStr">
        <is>
          <t>Résoudre $\sin x=0$.</t>
        </is>
      </c>
      <c r="G74" s="9" t="inlineStr">
        <is>
          <t>$x=k\pi$, $k\in\mathbb Z$</t>
        </is>
      </c>
      <c r="H74" s="9" t="inlineStr">
        <is>
          <t>Outils 3 : « Résolution d'équations trigonométriques simples : cos(x) = c, sin(x) = s. »</t>
        </is>
      </c>
      <c r="I74" s="9" t="n"/>
      <c r="J74" s="9" t="n"/>
      <c r="K74" s="9" t="inlineStr">
        <is>
          <t>Ajout d’après le formulaire de trigonométrie</t>
        </is>
      </c>
      <c r="L74" s="11" t="n"/>
      <c r="M74" s="11" t="n"/>
    </row>
    <row r="75">
      <c r="A75" s="12" t="inlineStr">
        <is>
          <t>F074</t>
        </is>
      </c>
      <c r="B75" s="13" t="inlineStr">
        <is>
          <t>Orange – incertain</t>
        </is>
      </c>
      <c r="C75" s="12" t="inlineStr">
        <is>
          <t>Trigonométrie</t>
        </is>
      </c>
      <c r="D75" s="12" t="inlineStr">
        <is>
          <t>$\sin^2a$ (linéarisation)</t>
        </is>
      </c>
      <c r="E75" s="12" t="inlineStr">
        <is>
          <t>Soit $a$ un réel.</t>
        </is>
      </c>
      <c r="F75" s="13" t="inlineStr">
        <is>
          <t>Exprimer $\sin^2a$ en fonction de $\cos 2a$.</t>
        </is>
      </c>
      <c r="G75" s="12" t="inlineStr">
        <is>
          <t>$\dfrac{1-\cos 2a}2$</t>
        </is>
      </c>
      <c r="H75" s="12" t="inlineStr">
        <is>
          <t>Outils 3 : formule non citée (« Les autres formules de trigonométrie ne sont pas des attendus du programme ») ; elle se déduit directement de $\cos 2a=1-2\sin^2a=2\cos^2a-1$.</t>
        </is>
      </c>
      <c r="I75" s="12" t="n"/>
      <c r="J75" s="12" t="n"/>
      <c r="K75" s="12" t="inlineStr">
        <is>
          <t>Ajout d’après le formulaire de trigonométrie (choix de B)</t>
        </is>
      </c>
      <c r="L75" s="14" t="n"/>
      <c r="M75" s="14" t="n"/>
    </row>
    <row r="76">
      <c r="A76" s="12" t="inlineStr">
        <is>
          <t>F075</t>
        </is>
      </c>
      <c r="B76" s="13" t="inlineStr">
        <is>
          <t>Orange – incertain</t>
        </is>
      </c>
      <c r="C76" s="12" t="inlineStr">
        <is>
          <t>Trigonométrie</t>
        </is>
      </c>
      <c r="D76" s="12" t="inlineStr">
        <is>
          <t>$\cos^2a$ (linéarisation)</t>
        </is>
      </c>
      <c r="E76" s="12" t="inlineStr">
        <is>
          <t>Soit $a$ un réel.</t>
        </is>
      </c>
      <c r="F76" s="13" t="inlineStr">
        <is>
          <t>Exprimer $\cos^2a$ en fonction de $\cos 2a$.</t>
        </is>
      </c>
      <c r="G76" s="12" t="inlineStr">
        <is>
          <t>$\dfrac{1+\cos 2a}2$</t>
        </is>
      </c>
      <c r="H76" s="12" t="inlineStr">
        <is>
          <t>Outils 3 : formule non citée (« Les autres formules de trigonométrie ne sont pas des attendus du programme ») ; elle se déduit directement de $\cos 2a=1-2\sin^2a=2\cos^2a-1$.</t>
        </is>
      </c>
      <c r="I76" s="12" t="n"/>
      <c r="J76" s="12" t="n"/>
      <c r="K76" s="12" t="inlineStr">
        <is>
          <t>Ajout d’après le formulaire de trigonométrie (choix de B)</t>
        </is>
      </c>
      <c r="L76" s="14" t="n"/>
      <c r="M76" s="14" t="n"/>
    </row>
  </sheetData>
  <autoFilter ref="A1:M60"/>
  <dataValidations count="1">
    <dataValidation sqref="L2:L7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3">
      <c r="A3" s="19" t="inlineStr">
        <is>
          <t>Statut</t>
        </is>
      </c>
      <c r="B3" s="19" t="inlineStr">
        <is>
          <t>Nombre de fiches</t>
        </is>
      </c>
      <c r="C3" s="19" t="inlineStr">
        <is>
          <t>Part</t>
        </is>
      </c>
    </row>
    <row r="4">
      <c r="A4" s="20" t="inlineStr">
        <is>
          <t>Noir – conforme</t>
        </is>
      </c>
      <c r="B4" s="21">
        <f>COUNTIF(Fiches!$B$2:$B$628,A4)</f>
        <v/>
      </c>
      <c r="C4" s="22">
        <f>IF($B$7=0,0,B4/$B$7)</f>
        <v/>
      </c>
    </row>
    <row r="5">
      <c r="A5" s="23" t="inlineStr">
        <is>
          <t>Orange – incertain</t>
        </is>
      </c>
      <c r="B5" s="21">
        <f>COUNTIF(Fiches!$B$2:$B$628,A5)</f>
        <v/>
      </c>
      <c r="C5" s="22">
        <f>IF($B$7=0,0,B5/$B$7)</f>
        <v/>
      </c>
    </row>
    <row r="6">
      <c r="A6" s="24" t="inlineStr">
        <is>
          <t>Rouge – hors programme</t>
        </is>
      </c>
      <c r="B6" s="21">
        <f>COUNTIF(Fiches!$B$2:$B$628,A6)</f>
        <v/>
      </c>
      <c r="C6" s="22">
        <f>IF($B$7=0,0,B6/$B$7)</f>
        <v/>
      </c>
    </row>
    <row r="7">
      <c r="A7" s="25" t="inlineStr">
        <is>
          <t>Total</t>
        </is>
      </c>
      <c r="B7" s="25">
        <f>SUM(B4:B6)</f>
        <v/>
      </c>
    </row>
    <row r="9">
      <c r="A9" s="25" t="inlineStr">
        <is>
          <t>Décisions saisies</t>
        </is>
      </c>
      <c r="B9" s="21">
        <f>COUNTA(Fiches!$M$2:$M$628)</f>
        <v/>
      </c>
    </row>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COUNTIFS(Fiches!$D$2:$D$628,$A13,Fiches!$B$2:$B$628,"Noir – conforme")</f>
        <v/>
      </c>
      <c r="C13" s="27">
        <f>COUNTIFS(Fiches!$D$2:$D$628,$A13,Fiches!$B$2:$B$628,"Orange – incertain")</f>
        <v/>
      </c>
      <c r="D13" s="28">
        <f>COUNTIFS(Fiches!$D$2:$D$628,$A13,Fiches!$B$2:$B$628,"Rouge – hors programme")</f>
        <v/>
      </c>
      <c r="E13" s="25">
        <f>SUM(B13:D13)</f>
        <v/>
      </c>
    </row>
    <row r="14">
      <c r="A14" s="21" t="inlineStr">
        <is>
          <t>BCPST1 · Outils 2 – Nombres réels</t>
        </is>
      </c>
      <c r="B14" s="26">
        <f>COUNTIFS(Fiches!$D$2:$D$628,$A14,Fiches!$B$2:$B$628,"Noir – conforme")</f>
        <v/>
      </c>
      <c r="C14" s="27">
        <f>COUNTIFS(Fiches!$D$2:$D$628,$A14,Fiches!$B$2:$B$628,"Orange – incertain")</f>
        <v/>
      </c>
      <c r="D14" s="28">
        <f>COUNTIFS(Fiches!$D$2:$D$628,$A14,Fiches!$B$2:$B$628,"Rouge – hors programme")</f>
        <v/>
      </c>
      <c r="E14" s="25">
        <f>SUM(B14:D14)</f>
        <v/>
      </c>
    </row>
    <row r="15">
      <c r="A15" s="21" t="inlineStr">
        <is>
          <t>BCPST1 · Outils 3 – Trigonométrie</t>
        </is>
      </c>
      <c r="B15" s="26">
        <f>COUNTIFS(Fiches!$D$2:$D$628,$A15,Fiches!$B$2:$B$628,"Noir – conforme")</f>
        <v/>
      </c>
      <c r="C15" s="27">
        <f>COUNTIFS(Fiches!$D$2:$D$628,$A15,Fiches!$B$2:$B$628,"Orange – incertain")</f>
        <v/>
      </c>
      <c r="D15" s="28">
        <f>COUNTIFS(Fiches!$D$2:$D$628,$A15,Fiches!$B$2:$B$628,"Rouge – hors programme")</f>
        <v/>
      </c>
      <c r="E15" s="25">
        <f>SUM(B15:D15)</f>
        <v/>
      </c>
    </row>
    <row r="16">
      <c r="A16" s="21" t="inlineStr">
        <is>
          <t>BCPST1 · Outils 4 – Nombres complexes</t>
        </is>
      </c>
      <c r="B16" s="26">
        <f>COUNTIFS(Fiches!$D$2:$D$628,$A16,Fiches!$B$2:$B$628,"Noir – conforme")</f>
        <v/>
      </c>
      <c r="C16" s="27">
        <f>COUNTIFS(Fiches!$D$2:$D$628,$A16,Fiches!$B$2:$B$628,"Orange – incertain")</f>
        <v/>
      </c>
      <c r="D16" s="28">
        <f>COUNTIFS(Fiches!$D$2:$D$628,$A16,Fiches!$B$2:$B$628,"Rouge – hors programme")</f>
        <v/>
      </c>
      <c r="E16" s="25">
        <f>SUM(B16:D16)</f>
        <v/>
      </c>
    </row>
    <row r="17">
      <c r="A17" s="21" t="inlineStr">
        <is>
          <t>BCPST1 · Outils 5 – Méthodes de calcul</t>
        </is>
      </c>
      <c r="B17" s="26">
        <f>COUNTIFS(Fiches!$D$2:$D$628,$A17,Fiches!$B$2:$B$628,"Noir – conforme")</f>
        <v/>
      </c>
      <c r="C17" s="27">
        <f>COUNTIFS(Fiches!$D$2:$D$628,$A17,Fiches!$B$2:$B$628,"Orange – incertain")</f>
        <v/>
      </c>
      <c r="D17" s="28">
        <f>COUNTIFS(Fiches!$D$2:$D$628,$A17,Fiches!$B$2:$B$628,"Rouge – hors programme")</f>
        <v/>
      </c>
      <c r="E17" s="25">
        <f>SUM(B17:D17)</f>
        <v/>
      </c>
    </row>
    <row r="18">
      <c r="A18" s="21" t="inlineStr">
        <is>
          <t>BCPST1 · Outils 6 – Vocabulaire des applications</t>
        </is>
      </c>
      <c r="B18" s="26">
        <f>COUNTIFS(Fiches!$D$2:$D$628,$A18,Fiches!$B$2:$B$628,"Noir – conforme")</f>
        <v/>
      </c>
      <c r="C18" s="27">
        <f>COUNTIFS(Fiches!$D$2:$D$628,$A18,Fiches!$B$2:$B$628,"Orange – incertain")</f>
        <v/>
      </c>
      <c r="D18" s="28">
        <f>COUNTIFS(Fiches!$D$2:$D$628,$A18,Fiches!$B$2:$B$628,"Rouge – hors programme")</f>
        <v/>
      </c>
      <c r="E18" s="25">
        <f>SUM(B18:D18)</f>
        <v/>
      </c>
    </row>
    <row r="19">
      <c r="A19" s="21" t="inlineStr">
        <is>
          <t>BCPST1 · Outils 7 – Dénombrement</t>
        </is>
      </c>
      <c r="B19" s="26">
        <f>COUNTIFS(Fiches!$D$2:$D$628,$A19,Fiches!$B$2:$B$628,"Noir – conforme")</f>
        <v/>
      </c>
      <c r="C19" s="27">
        <f>COUNTIFS(Fiches!$D$2:$D$628,$A19,Fiches!$B$2:$B$628,"Orange – incertain")</f>
        <v/>
      </c>
      <c r="D19" s="28">
        <f>COUNTIFS(Fiches!$D$2:$D$628,$A19,Fiches!$B$2:$B$628,"Rouge – hors programme")</f>
        <v/>
      </c>
      <c r="E19" s="25">
        <f>SUM(B19:D19)</f>
        <v/>
      </c>
    </row>
    <row r="20">
      <c r="A20" s="21" t="inlineStr">
        <is>
          <t>BCPST1 · Analyse 1 – Suites réelles usuelles</t>
        </is>
      </c>
      <c r="B20" s="26">
        <f>COUNTIFS(Fiches!$D$2:$D$628,$A20,Fiches!$B$2:$B$628,"Noir – conforme")</f>
        <v/>
      </c>
      <c r="C20" s="27">
        <f>COUNTIFS(Fiches!$D$2:$D$628,$A20,Fiches!$B$2:$B$628,"Orange – incertain")</f>
        <v/>
      </c>
      <c r="D20" s="28">
        <f>COUNTIFS(Fiches!$D$2:$D$628,$A20,Fiches!$B$2:$B$628,"Rouge – hors programme")</f>
        <v/>
      </c>
      <c r="E20" s="25">
        <f>SUM(B20:D20)</f>
        <v/>
      </c>
    </row>
    <row r="21">
      <c r="A21" s="21" t="inlineStr">
        <is>
          <t>BCPST1 · Analyse 2 – Fonctions réelles usuelles</t>
        </is>
      </c>
      <c r="B21" s="26">
        <f>COUNTIFS(Fiches!$D$2:$D$628,$A21,Fiches!$B$2:$B$628,"Noir – conforme")</f>
        <v/>
      </c>
      <c r="C21" s="27">
        <f>COUNTIFS(Fiches!$D$2:$D$628,$A21,Fiches!$B$2:$B$628,"Orange – incertain")</f>
        <v/>
      </c>
      <c r="D21" s="28">
        <f>COUNTIFS(Fiches!$D$2:$D$628,$A21,Fiches!$B$2:$B$628,"Rouge – hors programme")</f>
        <v/>
      </c>
      <c r="E21" s="25">
        <f>SUM(B21:D21)</f>
        <v/>
      </c>
    </row>
    <row r="22">
      <c r="A22" s="21" t="inlineStr">
        <is>
          <t>BCPST1 · Analyse 3 – Dérivées, primitives, intégrales</t>
        </is>
      </c>
      <c r="B22" s="26">
        <f>COUNTIFS(Fiches!$D$2:$D$628,$A22,Fiches!$B$2:$B$628,"Noir – conforme")</f>
        <v/>
      </c>
      <c r="C22" s="27">
        <f>COUNTIFS(Fiches!$D$2:$D$628,$A22,Fiches!$B$2:$B$628,"Orange – incertain")</f>
        <v/>
      </c>
      <c r="D22" s="28">
        <f>COUNTIFS(Fiches!$D$2:$D$628,$A22,Fiches!$B$2:$B$628,"Rouge – hors programme")</f>
        <v/>
      </c>
      <c r="E22" s="25">
        <f>SUM(B22:D22)</f>
        <v/>
      </c>
    </row>
    <row r="23">
      <c r="A23" s="21" t="inlineStr">
        <is>
          <t>BCPST1 · Analyse 4 – Équations différentielles linéaires</t>
        </is>
      </c>
      <c r="B23" s="26">
        <f>COUNTIFS(Fiches!$D$2:$D$628,$A23,Fiches!$B$2:$B$628,"Noir – conforme")</f>
        <v/>
      </c>
      <c r="C23" s="27">
        <f>COUNTIFS(Fiches!$D$2:$D$628,$A23,Fiches!$B$2:$B$628,"Orange – incertain")</f>
        <v/>
      </c>
      <c r="D23" s="28">
        <f>COUNTIFS(Fiches!$D$2:$D$628,$A23,Fiches!$B$2:$B$628,"Rouge – hors programme")</f>
        <v/>
      </c>
      <c r="E23" s="25">
        <f>SUM(B23:D23)</f>
        <v/>
      </c>
    </row>
    <row r="24">
      <c r="A24" s="21" t="inlineStr">
        <is>
          <t>BCPST1 · Algèbre linéaire 1 – Systèmes linéaires</t>
        </is>
      </c>
      <c r="B24" s="26">
        <f>COUNTIFS(Fiches!$D$2:$D$628,$A24,Fiches!$B$2:$B$628,"Noir – conforme")</f>
        <v/>
      </c>
      <c r="C24" s="27">
        <f>COUNTIFS(Fiches!$D$2:$D$628,$A24,Fiches!$B$2:$B$628,"Orange – incertain")</f>
        <v/>
      </c>
      <c r="D24" s="28">
        <f>COUNTIFS(Fiches!$D$2:$D$628,$A24,Fiches!$B$2:$B$628,"Rouge – hors programme")</f>
        <v/>
      </c>
      <c r="E24" s="25">
        <f>SUM(B24:D24)</f>
        <v/>
      </c>
    </row>
    <row r="25">
      <c r="A25" s="21" t="inlineStr">
        <is>
          <t>BCPST1 · Algèbre linéaire 2 – Matrices</t>
        </is>
      </c>
      <c r="B25" s="26">
        <f>COUNTIFS(Fiches!$D$2:$D$628,$A25,Fiches!$B$2:$B$628,"Noir – conforme")</f>
        <v/>
      </c>
      <c r="C25" s="27">
        <f>COUNTIFS(Fiches!$D$2:$D$628,$A25,Fiches!$B$2:$B$628,"Orange – incertain")</f>
        <v/>
      </c>
      <c r="D25" s="28">
        <f>COUNTIFS(Fiches!$D$2:$D$628,$A25,Fiches!$B$2:$B$628,"Rouge – hors programme")</f>
        <v/>
      </c>
      <c r="E25" s="25">
        <f>SUM(B25:D25)</f>
        <v/>
      </c>
    </row>
    <row r="26">
      <c r="A26" s="21" t="inlineStr">
        <is>
          <t>BCPST1 · Géométrie 1</t>
        </is>
      </c>
      <c r="B26" s="26">
        <f>COUNTIFS(Fiches!$D$2:$D$628,$A26,Fiches!$B$2:$B$628,"Noir – conforme")</f>
        <v/>
      </c>
      <c r="C26" s="27">
        <f>COUNTIFS(Fiches!$D$2:$D$628,$A26,Fiches!$B$2:$B$628,"Orange – incertain")</f>
        <v/>
      </c>
      <c r="D26" s="28">
        <f>COUNTIFS(Fiches!$D$2:$D$628,$A26,Fiches!$B$2:$B$628,"Rouge – hors programme")</f>
        <v/>
      </c>
      <c r="E26" s="25">
        <f>SUM(B26:D26)</f>
        <v/>
      </c>
    </row>
    <row r="27">
      <c r="A27" s="21" t="inlineStr">
        <is>
          <t>BCPST1 · Algèbre – Polynômes réels</t>
        </is>
      </c>
      <c r="B27" s="26">
        <f>COUNTIFS(Fiches!$D$2:$D$628,$A27,Fiches!$B$2:$B$628,"Noir – conforme")</f>
        <v/>
      </c>
      <c r="C27" s="27">
        <f>COUNTIFS(Fiches!$D$2:$D$628,$A27,Fiches!$B$2:$B$628,"Orange – incertain")</f>
        <v/>
      </c>
      <c r="D27" s="28">
        <f>COUNTIFS(Fiches!$D$2:$D$628,$A27,Fiches!$B$2:$B$628,"Rouge – hors programme")</f>
        <v/>
      </c>
      <c r="E27" s="25">
        <f>SUM(B27:D27)</f>
        <v/>
      </c>
    </row>
    <row r="28">
      <c r="A28" s="21" t="inlineStr">
        <is>
          <t>BCPST1 · Analyse 5 – Suites réelles</t>
        </is>
      </c>
      <c r="B28" s="26">
        <f>COUNTIFS(Fiches!$D$2:$D$628,$A28,Fiches!$B$2:$B$628,"Noir – conforme")</f>
        <v/>
      </c>
      <c r="C28" s="27">
        <f>COUNTIFS(Fiches!$D$2:$D$628,$A28,Fiches!$B$2:$B$628,"Orange – incertain")</f>
        <v/>
      </c>
      <c r="D28" s="28">
        <f>COUNTIFS(Fiches!$D$2:$D$628,$A28,Fiches!$B$2:$B$628,"Rouge – hors programme")</f>
        <v/>
      </c>
      <c r="E28" s="25">
        <f>SUM(B28:D28)</f>
        <v/>
      </c>
    </row>
    <row r="29">
      <c r="A29" s="21" t="inlineStr">
        <is>
          <t>BCPST1 · Analyse 6 – Limites, continuité</t>
        </is>
      </c>
      <c r="B29" s="26">
        <f>COUNTIFS(Fiches!$D$2:$D$628,$A29,Fiches!$B$2:$B$628,"Noir – conforme")</f>
        <v/>
      </c>
      <c r="C29" s="27">
        <f>COUNTIFS(Fiches!$D$2:$D$628,$A29,Fiches!$B$2:$B$628,"Orange – incertain")</f>
        <v/>
      </c>
      <c r="D29" s="28">
        <f>COUNTIFS(Fiches!$D$2:$D$628,$A29,Fiches!$B$2:$B$628,"Rouge – hors programme")</f>
        <v/>
      </c>
      <c r="E29" s="25">
        <f>SUM(B29:D29)</f>
        <v/>
      </c>
    </row>
    <row r="30">
      <c r="A30" s="21" t="inlineStr">
        <is>
          <t>BCPST1 · Analyse 7 – Dérivation</t>
        </is>
      </c>
      <c r="B30" s="26">
        <f>COUNTIFS(Fiches!$D$2:$D$628,$A30,Fiches!$B$2:$B$628,"Noir – conforme")</f>
        <v/>
      </c>
      <c r="C30" s="27">
        <f>COUNTIFS(Fiches!$D$2:$D$628,$A30,Fiches!$B$2:$B$628,"Orange – incertain")</f>
        <v/>
      </c>
      <c r="D30" s="28">
        <f>COUNTIFS(Fiches!$D$2:$D$628,$A30,Fiches!$B$2:$B$628,"Rouge – hors programme")</f>
        <v/>
      </c>
      <c r="E30" s="25">
        <f>SUM(B30:D30)</f>
        <v/>
      </c>
    </row>
    <row r="31">
      <c r="A31" s="21" t="inlineStr">
        <is>
          <t>BCPST1 · Analyse 8 – Intégration sur un segment</t>
        </is>
      </c>
      <c r="B31" s="26">
        <f>COUNTIFS(Fiches!$D$2:$D$628,$A31,Fiches!$B$2:$B$628,"Noir – conforme")</f>
        <v/>
      </c>
      <c r="C31" s="27">
        <f>COUNTIFS(Fiches!$D$2:$D$628,$A31,Fiches!$B$2:$B$628,"Orange – incertain")</f>
        <v/>
      </c>
      <c r="D31" s="28">
        <f>COUNTIFS(Fiches!$D$2:$D$628,$A31,Fiches!$B$2:$B$628,"Rouge – hors programme")</f>
        <v/>
      </c>
      <c r="E31" s="25">
        <f>SUM(B31:D31)</f>
        <v/>
      </c>
    </row>
    <row r="32">
      <c r="A32" s="21" t="inlineStr">
        <is>
          <t>BCPST1 · Analyse 9 – Développements limités</t>
        </is>
      </c>
      <c r="B32" s="26">
        <f>COUNTIFS(Fiches!$D$2:$D$628,$A32,Fiches!$B$2:$B$628,"Noir – conforme")</f>
        <v/>
      </c>
      <c r="C32" s="27">
        <f>COUNTIFS(Fiches!$D$2:$D$628,$A32,Fiches!$B$2:$B$628,"Orange – incertain")</f>
        <v/>
      </c>
      <c r="D32" s="28">
        <f>COUNTIFS(Fiches!$D$2:$D$628,$A32,Fiches!$B$2:$B$628,"Rouge – hors programme")</f>
        <v/>
      </c>
      <c r="E32" s="25">
        <f>SUM(B32:D32)</f>
        <v/>
      </c>
    </row>
    <row r="33">
      <c r="A33" s="21" t="inlineStr">
        <is>
          <t>BCPST1 · Analyse 10 – Fonctions de deux variables</t>
        </is>
      </c>
      <c r="B33" s="26">
        <f>COUNTIFS(Fiches!$D$2:$D$628,$A33,Fiches!$B$2:$B$628,"Noir – conforme")</f>
        <v/>
      </c>
      <c r="C33" s="27">
        <f>COUNTIFS(Fiches!$D$2:$D$628,$A33,Fiches!$B$2:$B$628,"Orange – incertain")</f>
        <v/>
      </c>
      <c r="D33" s="28">
        <f>COUNTIFS(Fiches!$D$2:$D$628,$A33,Fiches!$B$2:$B$628,"Rouge – hors programme")</f>
        <v/>
      </c>
      <c r="E33" s="25">
        <f>SUM(B33:D33)</f>
        <v/>
      </c>
    </row>
    <row r="34">
      <c r="A34" s="21" t="inlineStr">
        <is>
          <t>BCPST1 · Probabilités 1 – Concepts de base</t>
        </is>
      </c>
      <c r="B34" s="26">
        <f>COUNTIFS(Fiches!$D$2:$D$628,$A34,Fiches!$B$2:$B$628,"Noir – conforme")</f>
        <v/>
      </c>
      <c r="C34" s="27">
        <f>COUNTIFS(Fiches!$D$2:$D$628,$A34,Fiches!$B$2:$B$628,"Orange – incertain")</f>
        <v/>
      </c>
      <c r="D34" s="28">
        <f>COUNTIFS(Fiches!$D$2:$D$628,$A34,Fiches!$B$2:$B$628,"Rouge – hors programme")</f>
        <v/>
      </c>
      <c r="E34" s="25">
        <f>SUM(B34:D34)</f>
        <v/>
      </c>
    </row>
    <row r="35">
      <c r="A35" s="21" t="inlineStr">
        <is>
          <t>BCPST1 · Probabilités 2 – Variables sur un univers fini</t>
        </is>
      </c>
      <c r="B35" s="26">
        <f>COUNTIFS(Fiches!$D$2:$D$628,$A35,Fiches!$B$2:$B$628,"Noir – conforme")</f>
        <v/>
      </c>
      <c r="C35" s="27">
        <f>COUNTIFS(Fiches!$D$2:$D$628,$A35,Fiches!$B$2:$B$628,"Orange – incertain")</f>
        <v/>
      </c>
      <c r="D35" s="28">
        <f>COUNTIFS(Fiches!$D$2:$D$628,$A35,Fiches!$B$2:$B$628,"Rouge – hors programme")</f>
        <v/>
      </c>
      <c r="E35" s="25">
        <f>SUM(B35:D35)</f>
        <v/>
      </c>
    </row>
    <row r="36">
      <c r="A36" s="21" t="inlineStr">
        <is>
          <t>BCPST2 · Analyse 1 – Séries réelles</t>
        </is>
      </c>
      <c r="B36" s="26">
        <f>COUNTIFS(Fiches!$D$2:$D$628,$A36,Fiches!$B$2:$B$628,"Noir – conforme")</f>
        <v/>
      </c>
      <c r="C36" s="27">
        <f>COUNTIFS(Fiches!$D$2:$D$628,$A36,Fiches!$B$2:$B$628,"Orange – incertain")</f>
        <v/>
      </c>
      <c r="D36" s="28">
        <f>COUNTIFS(Fiches!$D$2:$D$628,$A36,Fiches!$B$2:$B$628,"Rouge – hors programme")</f>
        <v/>
      </c>
      <c r="E36" s="25">
        <f>SUM(B36:D36)</f>
        <v/>
      </c>
    </row>
    <row r="37">
      <c r="A37" s="21" t="inlineStr">
        <is>
          <t>BCPST2 · Analyse 2 – Intégrales généralisées</t>
        </is>
      </c>
      <c r="B37" s="26">
        <f>COUNTIFS(Fiches!$D$2:$D$628,$A37,Fiches!$B$2:$B$628,"Noir – conforme")</f>
        <v/>
      </c>
      <c r="C37" s="27">
        <f>COUNTIFS(Fiches!$D$2:$D$628,$A37,Fiches!$B$2:$B$628,"Orange – incertain")</f>
        <v/>
      </c>
      <c r="D37" s="28">
        <f>COUNTIFS(Fiches!$D$2:$D$628,$A37,Fiches!$B$2:$B$628,"Rouge – hors programme")</f>
        <v/>
      </c>
      <c r="E37" s="25">
        <f>SUM(B37:D37)</f>
        <v/>
      </c>
    </row>
    <row r="38">
      <c r="A38" s="21" t="inlineStr">
        <is>
          <t>BCPST2 · Algèbre – Polynômes</t>
        </is>
      </c>
      <c r="B38" s="26">
        <f>COUNTIFS(Fiches!$D$2:$D$628,$A38,Fiches!$B$2:$B$628,"Noir – conforme")</f>
        <v/>
      </c>
      <c r="C38" s="27">
        <f>COUNTIFS(Fiches!$D$2:$D$628,$A38,Fiches!$B$2:$B$628,"Orange – incertain")</f>
        <v/>
      </c>
      <c r="D38" s="28">
        <f>COUNTIFS(Fiches!$D$2:$D$628,$A38,Fiches!$B$2:$B$628,"Rouge – hors programme")</f>
        <v/>
      </c>
      <c r="E38" s="25">
        <f>SUM(B38:D38)</f>
        <v/>
      </c>
    </row>
    <row r="39">
      <c r="A39" s="21" t="inlineStr">
        <is>
          <t>BCPST2 · Algèbre linéaire 1 – Espaces vectoriels</t>
        </is>
      </c>
      <c r="B39" s="26">
        <f>COUNTIFS(Fiches!$D$2:$D$628,$A39,Fiches!$B$2:$B$628,"Noir – conforme")</f>
        <v/>
      </c>
      <c r="C39" s="27">
        <f>COUNTIFS(Fiches!$D$2:$D$628,$A39,Fiches!$B$2:$B$628,"Orange – incertain")</f>
        <v/>
      </c>
      <c r="D39" s="28">
        <f>COUNTIFS(Fiches!$D$2:$D$628,$A39,Fiches!$B$2:$B$628,"Rouge – hors programme")</f>
        <v/>
      </c>
      <c r="E39" s="25">
        <f>SUM(B39:D39)</f>
        <v/>
      </c>
    </row>
    <row r="40">
      <c r="A40" s="21" t="inlineStr">
        <is>
          <t>BCPST2 · Algèbre linéaire 2 – Applications linéaires et matrices</t>
        </is>
      </c>
      <c r="B40" s="26">
        <f>COUNTIFS(Fiches!$D$2:$D$628,$A40,Fiches!$B$2:$B$628,"Noir – conforme")</f>
        <v/>
      </c>
      <c r="C40" s="27">
        <f>COUNTIFS(Fiches!$D$2:$D$628,$A40,Fiches!$B$2:$B$628,"Orange – incertain")</f>
        <v/>
      </c>
      <c r="D40" s="28">
        <f>COUNTIFS(Fiches!$D$2:$D$628,$A40,Fiches!$B$2:$B$628,"Rouge – hors programme")</f>
        <v/>
      </c>
      <c r="E40" s="25">
        <f>SUM(B40:D40)</f>
        <v/>
      </c>
    </row>
    <row r="41">
      <c r="A41" s="21" t="inlineStr">
        <is>
          <t>BCPST2 · Algèbre linéaire 3 – Valeurs propres</t>
        </is>
      </c>
      <c r="B41" s="26">
        <f>COUNTIFS(Fiches!$D$2:$D$628,$A41,Fiches!$B$2:$B$628,"Noir – conforme")</f>
        <v/>
      </c>
      <c r="C41" s="27">
        <f>COUNTIFS(Fiches!$D$2:$D$628,$A41,Fiches!$B$2:$B$628,"Orange – incertain")</f>
        <v/>
      </c>
      <c r="D41" s="28">
        <f>COUNTIFS(Fiches!$D$2:$D$628,$A41,Fiches!$B$2:$B$628,"Rouge – hors programme")</f>
        <v/>
      </c>
      <c r="E41" s="25">
        <f>SUM(B41:D41)</f>
        <v/>
      </c>
    </row>
    <row r="42">
      <c r="A42" s="21" t="inlineStr">
        <is>
          <t>BCPST2 · Géométrie – Produit scalaire dans Rⁿ</t>
        </is>
      </c>
      <c r="B42" s="26">
        <f>COUNTIFS(Fiches!$D$2:$D$628,$A42,Fiches!$B$2:$B$628,"Noir – conforme")</f>
        <v/>
      </c>
      <c r="C42" s="27">
        <f>COUNTIFS(Fiches!$D$2:$D$628,$A42,Fiches!$B$2:$B$628,"Orange – incertain")</f>
        <v/>
      </c>
      <c r="D42" s="28">
        <f>COUNTIFS(Fiches!$D$2:$D$628,$A42,Fiches!$B$2:$B$628,"Rouge – hors programme")</f>
        <v/>
      </c>
      <c r="E42" s="25">
        <f>SUM(B42:D42)</f>
        <v/>
      </c>
    </row>
    <row r="43">
      <c r="A43" s="21" t="inlineStr">
        <is>
          <t>BCPST2 · Probabilités 1 – Concepts de base</t>
        </is>
      </c>
      <c r="B43" s="26">
        <f>COUNTIFS(Fiches!$D$2:$D$628,$A43,Fiches!$B$2:$B$628,"Noir – conforme")</f>
        <v/>
      </c>
      <c r="C43" s="27">
        <f>COUNTIFS(Fiches!$D$2:$D$628,$A43,Fiches!$B$2:$B$628,"Orange – incertain")</f>
        <v/>
      </c>
      <c r="D43" s="28">
        <f>COUNTIFS(Fiches!$D$2:$D$628,$A43,Fiches!$B$2:$B$628,"Rouge – hors programme")</f>
        <v/>
      </c>
      <c r="E43" s="25">
        <f>SUM(B43:D43)</f>
        <v/>
      </c>
    </row>
    <row r="44">
      <c r="A44" s="21" t="inlineStr">
        <is>
          <t>BCPST2 · Probabilités 2 – Variables discrètes</t>
        </is>
      </c>
      <c r="B44" s="26">
        <f>COUNTIFS(Fiches!$D$2:$D$628,$A44,Fiches!$B$2:$B$628,"Noir – conforme")</f>
        <v/>
      </c>
      <c r="C44" s="27">
        <f>COUNTIFS(Fiches!$D$2:$D$628,$A44,Fiches!$B$2:$B$628,"Orange – incertain")</f>
        <v/>
      </c>
      <c r="D44" s="28">
        <f>COUNTIFS(Fiches!$D$2:$D$628,$A44,Fiches!$B$2:$B$628,"Rouge – hors programme")</f>
        <v/>
      </c>
      <c r="E44" s="25">
        <f>SUM(B44:D44)</f>
        <v/>
      </c>
    </row>
    <row r="45">
      <c r="A45" s="21" t="inlineStr">
        <is>
          <t>BCPST2 · Probabilités 3 – Couples discrets</t>
        </is>
      </c>
      <c r="B45" s="26">
        <f>COUNTIFS(Fiches!$D$2:$D$628,$A45,Fiches!$B$2:$B$628,"Noir – conforme")</f>
        <v/>
      </c>
      <c r="C45" s="27">
        <f>COUNTIFS(Fiches!$D$2:$D$628,$A45,Fiches!$B$2:$B$628,"Orange – incertain")</f>
        <v/>
      </c>
      <c r="D45" s="28">
        <f>COUNTIFS(Fiches!$D$2:$D$628,$A45,Fiches!$B$2:$B$628,"Rouge – hors programme")</f>
        <v/>
      </c>
      <c r="E45" s="25">
        <f>SUM(B45:D45)</f>
        <v/>
      </c>
    </row>
    <row r="46">
      <c r="A46" s="21" t="inlineStr">
        <is>
          <t>BCPST2 · Probabilités 4 – Variables à densité</t>
        </is>
      </c>
      <c r="B46" s="26">
        <f>COUNTIFS(Fiches!$D$2:$D$628,$A46,Fiches!$B$2:$B$628,"Noir – conforme")</f>
        <v/>
      </c>
      <c r="C46" s="27">
        <f>COUNTIFS(Fiches!$D$2:$D$628,$A46,Fiches!$B$2:$B$628,"Orange – incertain")</f>
        <v/>
      </c>
      <c r="D46" s="28">
        <f>COUNTIFS(Fiches!$D$2:$D$628,$A46,Fiches!$B$2:$B$628,"Rouge – hors programme")</f>
        <v/>
      </c>
      <c r="E46" s="25">
        <f>SUM(B46:D46)</f>
        <v/>
      </c>
    </row>
    <row r="47">
      <c r="A47" s="21" t="inlineStr">
        <is>
          <t>BCPST2 · Probabilités 5 – Théorèmes limites</t>
        </is>
      </c>
      <c r="B47" s="26">
        <f>COUNTIFS(Fiches!$D$2:$D$628,$A47,Fiches!$B$2:$B$628,"Noir – conforme")</f>
        <v/>
      </c>
      <c r="C47" s="27">
        <f>COUNTIFS(Fiches!$D$2:$D$628,$A47,Fiches!$B$2:$B$628,"Orange – incertain")</f>
        <v/>
      </c>
      <c r="D47" s="28">
        <f>COUNTIFS(Fiches!$D$2:$D$628,$A47,Fiches!$B$2:$B$628,"Rouge – hors programme")</f>
        <v/>
      </c>
      <c r="E47" s="25">
        <f>SUM(B47:D47)</f>
        <v/>
      </c>
    </row>
    <row r="48">
      <c r="A48" s="21" t="inlineStr">
        <is>
          <t>Hors des chapitres du programme</t>
        </is>
      </c>
      <c r="B48" s="26">
        <f>COUNTIFS(Fiches!$D$2:$D$628,$A48,Fiches!$B$2:$B$628,"Noir – conforme")</f>
        <v/>
      </c>
      <c r="C48" s="27">
        <f>COUNTIFS(Fiches!$D$2:$D$628,$A48,Fiches!$B$2:$B$628,"Orange – incertain")</f>
        <v/>
      </c>
      <c r="D48" s="28">
        <f>COUNTIFS(Fiches!$D$2:$D$628,$A48,Fiches!$B$2:$B$628,"Rouge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2026-10-24T07:36:31Z</dcterms:modified>
</cp:coreProperties>
</file>