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8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 On a $A=B\iff(A\subset B\text{ et }B\subset A)$ : on montre une égalité d'ensembles par double inclusion.</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Coefficients binomiaux – Propriétés</t>
        </is>
      </c>
      <c r="G40" s="9" t="inlineStr">
        <is>
          <t>Soient $n\in\mathbb N$ et $p\in\mathbb Z$.</t>
        </is>
      </c>
      <c r="H40" s="10" t="inlineStr">
        <is>
          <t>Donner la propriété de symétrie, la formule de Pascal et la formule « sans factorielle » $k\binom nk$.</t>
        </is>
      </c>
      <c r="I40" s="9" t="inlineStr">
        <is>
          <t>Symétrie : $\binom{n}{p}=\binom{n}{n-p}$. Formule de Pascal : $\binom{n}{p}+\binom{n}{p+1}=\binom{n+1}{p+1}$. Pour $k\ge1$ : $\binom nk=\dfrac nk\binom{n-1}{k-1}$, soit $k\binom nk=n\binom{n-1}{k-1}$.</t>
        </is>
      </c>
      <c r="J40" s="9" t="inlineStr">
        <is>
          <t>Programme Outils 5 : « On met en valeur les formules : $\binom nk=\binom n{n-k}$, $\binom nk=\frac nk\binom{n-1}{k-1}$, $\binom n{k-1}+\binom nk=\binom{n+1}k$.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row r="570">
      <c r="A570" s="9" t="inlineStr">
        <is>
          <t>M570</t>
        </is>
      </c>
      <c r="B570" s="10" t="inlineStr">
        <is>
          <t>Noir – conforme</t>
        </is>
      </c>
      <c r="C570" s="9" t="inlineStr">
        <is>
          <t>BCPST1</t>
        </is>
      </c>
      <c r="D570" s="9" t="inlineStr">
        <is>
          <t>BCPST1 · Outils 1 – Logique, ensembles</t>
        </is>
      </c>
      <c r="E570" s="9" t="inlineStr">
        <is>
          <t>Propriété</t>
        </is>
      </c>
      <c r="F570" s="9" t="inlineStr">
        <is>
          <t>Négation de « et » et de « ou »</t>
        </is>
      </c>
      <c r="G570" s="9" t="inlineStr">
        <is>
          <t>Soient $P$ et $Q$ deux assertions.</t>
        </is>
      </c>
      <c r="H570" s="10" t="inlineStr">
        <is>
          <t>Écrire $\mathrm{non}(P\text{ et }Q)$ et $\mathrm{non}(P\text{ ou }Q)$. Le « ou » mathématique est-il inclusif ou exclusif ?</t>
        </is>
      </c>
      <c r="I570" s="9" t="inlineStr">
        <is>
          <t>$\mathrm{non}(P\text{ et }Q)\iff(\mathrm{non}\,P)\text{ ou }(\mathrm{non}\,Q)$ ; $\mathrm{non}(P\text{ ou }Q)\iff(\mathrm{non}\,P)\text{ et }(\mathrm{non}\,Q)$. Le « ou » mathématique est inclusif : $P\text{ ou }Q$ est vraie dès qu'au moins l'une des deux l'est (éventuellement les deux).</t>
        </is>
      </c>
      <c r="J570" s="9" t="inlineStr">
        <is>
          <t>Programme Outils 1 : « Assertion, négation, « et », « ou » » ; « Négation d'un « et » et d'un « ou ». »</t>
        </is>
      </c>
      <c r="K570" s="9" t="n"/>
      <c r="L570" s="9" t="inlineStr">
        <is>
          <t>Ajout d’après le cours « Logique et raisonnements »</t>
        </is>
      </c>
      <c r="M570" s="11" t="n"/>
      <c r="N570" s="11" t="n"/>
    </row>
    <row r="571">
      <c r="A571" s="9" t="inlineStr">
        <is>
          <t>M571</t>
        </is>
      </c>
      <c r="B571" s="10" t="inlineStr">
        <is>
          <t>Noir – conforme</t>
        </is>
      </c>
      <c r="C571" s="9" t="inlineStr">
        <is>
          <t>BCPST1</t>
        </is>
      </c>
      <c r="D571" s="9" t="inlineStr">
        <is>
          <t>BCPST1 · Outils 1 – Logique, ensembles</t>
        </is>
      </c>
      <c r="E571" s="9" t="inlineStr">
        <is>
          <t>Propriété</t>
        </is>
      </c>
      <c r="F571" s="9" t="inlineStr">
        <is>
          <t>Distributivité de « et » et « ou »</t>
        </is>
      </c>
      <c r="G571" s="9" t="inlineStr">
        <is>
          <t>Soient $A$, $B$, $C$ trois assertions.</t>
        </is>
      </c>
      <c r="H571" s="10" t="inlineStr">
        <is>
          <t>Développer $A\text{ ou }(B\text{ et }C)$ et $A\text{ et }(B\text{ ou }C)$.</t>
        </is>
      </c>
      <c r="I571" s="9" t="inlineStr">
        <is>
          <t>$A\text{ ou }(B\text{ et }C)\iff(A\text{ ou }B)\text{ et }(A\text{ ou }C)$ ; $A\text{ et }(B\text{ ou }C)\iff(A\text{ et }B)\text{ ou }(A\text{ et }C)$.</t>
        </is>
      </c>
      <c r="J571" s="9" t="inlineStr">
        <is>
          <t>Programme Outils 1 : « Distributivité du « ou » sur le « et » et du « et » sur le « ou ». »</t>
        </is>
      </c>
      <c r="K571" s="9" t="n"/>
      <c r="L571" s="9" t="inlineStr">
        <is>
          <t>Ajout d’après le cours « Logique et raisonnements »</t>
        </is>
      </c>
      <c r="M571" s="11" t="n"/>
      <c r="N571" s="11" t="n"/>
    </row>
    <row r="572">
      <c r="A572" s="9" t="inlineStr">
        <is>
          <t>M572</t>
        </is>
      </c>
      <c r="B572" s="10" t="inlineStr">
        <is>
          <t>Noir – conforme</t>
        </is>
      </c>
      <c r="C572" s="9" t="inlineStr">
        <is>
          <t>BCPST1</t>
        </is>
      </c>
      <c r="D572" s="9" t="inlineStr">
        <is>
          <t>BCPST1 · Outils 1 – Logique, ensembles</t>
        </is>
      </c>
      <c r="E572" s="9" t="inlineStr">
        <is>
          <t>Définition</t>
        </is>
      </c>
      <c r="F572" s="9" t="inlineStr">
        <is>
          <t>Implication et sa négation</t>
        </is>
      </c>
      <c r="G572" s="9" t="inlineStr">
        <is>
          <t>Soient $P$ et $Q$ deux assertions.</t>
        </is>
      </c>
      <c r="H572" s="10" t="inlineStr">
        <is>
          <t>Que signifie $P\Rightarrow Q$ ? Quelle est sa négation ?</t>
        </is>
      </c>
      <c r="I572" s="9" t="inlineStr">
        <is>
          <t>$P\Rightarrow Q$ est l'assertion « $Q$ ou $\mathrm{non}\,P$ » : si $P$ est vraie, $Q$ l'est (et si $P$ est fausse, l'implication est vraie). Négation : $P\text{ et }\mathrm{non}\,Q$ ; ce n'est pas une implication.</t>
        </is>
      </c>
      <c r="J572" s="9" t="inlineStr">
        <is>
          <t>Programme Outils 1 : « implication ».</t>
        </is>
      </c>
      <c r="K572" s="9" t="n"/>
      <c r="L572" s="9" t="inlineStr">
        <is>
          <t>Ajout d’après le cours « Logique et raisonnements »</t>
        </is>
      </c>
      <c r="M572" s="11" t="n"/>
      <c r="N572" s="11" t="n"/>
    </row>
    <row r="573">
      <c r="A573" s="9" t="inlineStr">
        <is>
          <t>M573</t>
        </is>
      </c>
      <c r="B573" s="10" t="inlineStr">
        <is>
          <t>Noir – conforme</t>
        </is>
      </c>
      <c r="C573" s="9" t="inlineStr">
        <is>
          <t>BCPST1</t>
        </is>
      </c>
      <c r="D573" s="9" t="inlineStr">
        <is>
          <t>BCPST1 · Outils 1 – Logique, ensembles</t>
        </is>
      </c>
      <c r="E573" s="9" t="inlineStr">
        <is>
          <t>Définition</t>
        </is>
      </c>
      <c r="F573" s="9" t="inlineStr">
        <is>
          <t>Réciproque, contraposée, équivalence</t>
        </is>
      </c>
      <c r="G573" s="9" t="inlineStr">
        <is>
          <t>Soient $P$ et $Q$ deux assertions.</t>
        </is>
      </c>
      <c r="H573" s="10" t="inlineStr">
        <is>
          <t>Donner la réciproque et la contraposée de $P\Rightarrow Q$. Laquelle lui est équivalente ? Que signifie $P\iff Q$ ?</t>
        </is>
      </c>
      <c r="I573" s="9" t="inlineStr">
        <is>
          <t>Réciproque : $Q\Rightarrow P$ (pas équivalente en général). Contraposée : $\mathrm{non}\,Q\Rightarrow\mathrm{non}\,P$, équivalente à $P\Rightarrow Q$ (principe de contraposition). $P\iff Q$ signifie $(P\Rightarrow Q)\text{ et }(Q\Rightarrow P)$ ; on la prouve par équivalences successives ou par double implication.</t>
        </is>
      </c>
      <c r="J573" s="9" t="inlineStr">
        <is>
          <t>Programme Outils 1 : « implication, équivalence » ; « Le principe de contraposition est rappelé. »</t>
        </is>
      </c>
      <c r="K573" s="9" t="n"/>
      <c r="L573" s="9" t="inlineStr">
        <is>
          <t>Ajout d’après le cours « Logique et raisonnements »</t>
        </is>
      </c>
      <c r="M573" s="11" t="n"/>
      <c r="N573" s="11" t="n"/>
    </row>
    <row r="574">
      <c r="A574" s="9" t="inlineStr">
        <is>
          <t>M574</t>
        </is>
      </c>
      <c r="B574" s="10" t="inlineStr">
        <is>
          <t>Orange – incertain</t>
        </is>
      </c>
      <c r="C574" s="9" t="inlineStr">
        <is>
          <t>BCPST1</t>
        </is>
      </c>
      <c r="D574" s="9" t="inlineStr">
        <is>
          <t>BCPST1 · Outils 1 – Logique, ensembles</t>
        </is>
      </c>
      <c r="E574" s="9" t="inlineStr">
        <is>
          <t>Définition</t>
        </is>
      </c>
      <c r="F574" s="9" t="inlineStr">
        <is>
          <t>Condition nécessaire, condition suffisante</t>
        </is>
      </c>
      <c r="G574" s="9" t="inlineStr">
        <is>
          <t>Soient $C$ une condition et $R$ un résultat.</t>
        </is>
      </c>
      <c r="H574" s="10" t="inlineStr">
        <is>
          <t>Que signifient « $C$ est une condition suffisante pour $R$ » ? « nécessaire » ? « nécessaire et suffisante » ?</t>
        </is>
      </c>
      <c r="I574" s="9" t="inlineStr">
        <is>
          <t>Suffisante : $C\Rightarrow R$. Nécessaire : $R\Rightarrow C$ (« pour avoir $R$, il faut $C$ »). Nécessaire et suffisante : $R\iff C$. Exemple : $x=-1$ est suffisante pour $x^2=1$, mais pas nécessaire.</t>
        </is>
      </c>
      <c r="J574" s="9" t="inlineStr">
        <is>
          <t>Cours ; vocabulaire non cité par le programme.</t>
        </is>
      </c>
      <c r="K574" s="9" t="n"/>
      <c r="L574" s="9" t="inlineStr">
        <is>
          <t>Ajout d’après le cours « Logique et raisonnements »</t>
        </is>
      </c>
      <c r="M574" s="11" t="n"/>
      <c r="N574" s="11" t="n"/>
    </row>
    <row r="575">
      <c r="A575" s="9" t="inlineStr">
        <is>
          <t>M575</t>
        </is>
      </c>
      <c r="B575" s="10" t="inlineStr">
        <is>
          <t>Noir – conforme</t>
        </is>
      </c>
      <c r="C575" s="9" t="inlineStr">
        <is>
          <t>BCPST1</t>
        </is>
      </c>
      <c r="D575" s="9" t="inlineStr">
        <is>
          <t>BCPST1 · Outils 1 – Logique, ensembles</t>
        </is>
      </c>
      <c r="E575" s="9" t="inlineStr">
        <is>
          <t>Définition</t>
        </is>
      </c>
      <c r="F575" s="9" t="inlineStr">
        <is>
          <t>Quantificateurs et négation</t>
        </is>
      </c>
      <c r="G575" s="9" t="inlineStr">
        <is>
          <t>Soient $E$ un ensemble et $P(x)$ une assertion dépendant de $x\in E$.</t>
        </is>
      </c>
      <c r="H575" s="10" t="inlineStr">
        <is>
          <t>Que signifient $\forall$, $\exists$, $\exists!$ ? Écrire la négation de $\forall x\in E,\ P(x)$ et de $\exists x\in E,\ P(x)$. L'ordre des quantificateurs compte-t-il ?</t>
        </is>
      </c>
      <c r="I575" s="9" t="inlineStr">
        <is>
          <t>$\forall$ : pour tout ; $\exists$ : il existe au moins un ; $\exists!$ : il existe un unique. $\mathrm{non}(\forall x\in E,\ P(x))\iff\exists x\in E,\ \mathrm{non}\,P(x)$ ; $\mathrm{non}(\exists x\in E,\ P(x))\iff\forall x\in E,\ \mathrm{non}\,P(x)$ : on échange les quantificateurs et on nie l'assertion finale. Oui : $\forall x,\exists y$ et $\exists y,\forall x$ n'ont pas le même sens.</t>
        </is>
      </c>
      <c r="J575" s="9" t="inlineStr">
        <is>
          <t>Programme Outils 1 : « Quantificateurs universel et existentiel. Négation d'une assertion quantifiée. »</t>
        </is>
      </c>
      <c r="K575" s="9" t="n"/>
      <c r="L575" s="9" t="inlineStr">
        <is>
          <t>Ajout d’après le cours « Logique et raisonnements »</t>
        </is>
      </c>
      <c r="M575" s="11" t="n"/>
      <c r="N575" s="11" t="n"/>
    </row>
    <row r="576">
      <c r="A576" s="9" t="inlineStr">
        <is>
          <t>M576</t>
        </is>
      </c>
      <c r="B576" s="10" t="inlineStr">
        <is>
          <t>Orange – incertain</t>
        </is>
      </c>
      <c r="C576" s="9" t="inlineStr">
        <is>
          <t>BCPST1</t>
        </is>
      </c>
      <c r="D576" s="9" t="inlineStr">
        <is>
          <t>BCPST1 · Outils 1 – Logique, ensembles</t>
        </is>
      </c>
      <c r="E576" s="9" t="inlineStr">
        <is>
          <t>Méthode</t>
        </is>
      </c>
      <c r="F576" s="9" t="inlineStr">
        <is>
          <t>Raisonnement par l’absurde ou par contraposée</t>
        </is>
      </c>
      <c r="G576" s="9" t="inlineStr">
        <is>
          <t>On veut prouver $P\Rightarrow Q$.</t>
        </is>
      </c>
      <c r="H576" s="10" t="inlineStr">
        <is>
          <t>Décrire le raisonnement par contraposée et le raisonnement par l'absurde. En quoi diffèrent-ils ?</t>
        </is>
      </c>
      <c r="I576" s="9" t="inlineStr">
        <is>
          <t>Contraposée : on suppose $\mathrm{non}\,Q$ et on démontre $\mathrm{non}\,P$. Absurde : on suppose $P$ et $\mathrm{non}\,Q$ et on aboutit à une contradiction (on montre que « $P$ et $\mathrm{non}\,Q$ » est fausse).</t>
        </is>
      </c>
      <c r="J576" s="9" t="inlineStr">
        <is>
          <t>Cours ; le programme ne cite que la contraposition.</t>
        </is>
      </c>
      <c r="K576" s="9" t="n"/>
      <c r="L576" s="9" t="inlineStr">
        <is>
          <t>Ajout d’après le cours « Logique et raisonnements »</t>
        </is>
      </c>
      <c r="M576" s="11" t="n"/>
      <c r="N576" s="11" t="n"/>
    </row>
    <row r="577">
      <c r="A577" s="9" t="inlineStr">
        <is>
          <t>M577</t>
        </is>
      </c>
      <c r="B577" s="10" t="inlineStr">
        <is>
          <t>Noir – conforme</t>
        </is>
      </c>
      <c r="C577" s="9" t="inlineStr">
        <is>
          <t>BCPST1</t>
        </is>
      </c>
      <c r="D577" s="9" t="inlineStr">
        <is>
          <t>BCPST1 · Outils 1 – Logique, ensembles</t>
        </is>
      </c>
      <c r="E577" s="9" t="inlineStr">
        <is>
          <t>Théorème</t>
        </is>
      </c>
      <c r="F577" s="9" t="inlineStr">
        <is>
          <t>Raisonnement par récurrence simple</t>
        </is>
      </c>
      <c r="G577" s="9" t="inlineStr">
        <is>
          <t>Soient $n_0\in\mathbb N$ et $\mathcal P(n)$ une assertion définie pour $n\ge n_0$.</t>
        </is>
      </c>
      <c r="H577" s="10" t="inlineStr">
        <is>
          <t>Énoncer le principe de récurrence (initialisation, hérédité).</t>
        </is>
      </c>
      <c r="I577" s="9" t="inlineStr">
        <is>
          <t>Si $\mathcal P(n_0)$ est vraie (initialisation) et si, pour tout $n\ge n_0$, $\mathcal P(n)\Rightarrow\mathcal P(n+1)$ (hérédité), alors $\mathcal P(n)$ est vraie pour tout $n\ge n_0$.</t>
        </is>
      </c>
      <c r="J577" s="9" t="inlineStr">
        <is>
          <t>Programme Outils 1 : « Raisonnement par récurrence. »</t>
        </is>
      </c>
      <c r="K577" s="9" t="n"/>
      <c r="L577" s="9" t="inlineStr">
        <is>
          <t>Ajout d’après le cours « Logique et raisonnements »</t>
        </is>
      </c>
      <c r="M577" s="11" t="n"/>
      <c r="N577" s="11" t="n"/>
    </row>
    <row r="578">
      <c r="A578" s="9" t="inlineStr">
        <is>
          <t>M578</t>
        </is>
      </c>
      <c r="B578" s="10" t="inlineStr">
        <is>
          <t>Noir – conforme</t>
        </is>
      </c>
      <c r="C578" s="9" t="inlineStr">
        <is>
          <t>BCPST1</t>
        </is>
      </c>
      <c r="D578" s="9" t="inlineStr">
        <is>
          <t>BCPST1 · Outils 1 – Logique, ensembles</t>
        </is>
      </c>
      <c r="E578" s="9" t="inlineStr">
        <is>
          <t>Théorème</t>
        </is>
      </c>
      <c r="F578" s="9" t="inlineStr">
        <is>
          <t>Récurrence double et récurrence forte</t>
        </is>
      </c>
      <c r="G578" s="9" t="inlineStr">
        <is>
          <t>Soient $n_0\in\mathbb N$ et $\mathcal P(n)$ une assertion définie pour $n\ge n_0$.</t>
        </is>
      </c>
      <c r="H578" s="10" t="inlineStr">
        <is>
          <t>Énoncer le principe de récurrence double, puis celui de récurrence forte.</t>
        </is>
      </c>
      <c r="I578" s="9" t="inlineStr">
        <is>
          <t>Double : si $\mathcal P(n_0)$ et $\mathcal P(n_0+1)$ sont vraies et si, pour tout $n\ge n_0$, $(\mathcal P(n)\text{ et }\mathcal P(n+1))\Rightarrow\mathcal P(n+2)$, alors $\mathcal P(n)$ est vraie pour tout $n\ge n_0$. Forte : si $\mathcal P(n_0)$ est vraie et si, pour tout $n\ge n_0$, $(\mathcal P(n_0),\dots,\mathcal P(n))\Rightarrow\mathcal P(n+1)$, même conclusion.</t>
        </is>
      </c>
      <c r="J578" s="9" t="inlineStr">
        <is>
          <t>Programme Outils 1 : « Lorsqu'un raisonnement par récurrence nécessite une hypothèse dite « forte », la formulation de cette hypothèse devra être proposée. »</t>
        </is>
      </c>
      <c r="K578" s="9" t="n"/>
      <c r="L578" s="9" t="inlineStr">
        <is>
          <t>Ajout d’après le cours « Logique et raisonnements »</t>
        </is>
      </c>
      <c r="M578" s="11" t="n"/>
      <c r="N578" s="11" t="n"/>
    </row>
    <row r="579">
      <c r="A579" s="9" t="inlineStr">
        <is>
          <t>M579</t>
        </is>
      </c>
      <c r="B579" s="10" t="inlineStr">
        <is>
          <t>Orange – incertain</t>
        </is>
      </c>
      <c r="C579" s="9" t="inlineStr">
        <is>
          <t>BCPST1</t>
        </is>
      </c>
      <c r="D579" s="9" t="inlineStr">
        <is>
          <t>BCPST1 · Outils 1 – Logique, ensembles</t>
        </is>
      </c>
      <c r="E579" s="9" t="inlineStr">
        <is>
          <t>Méthode</t>
        </is>
      </c>
      <c r="F579" s="9" t="inlineStr">
        <is>
          <t>Raisonnement par analyse-synthèse</t>
        </is>
      </c>
      <c r="G579" s="9" t="inlineStr">
        <is>
          <t>On cherche toutes les solutions d'un problème (par exemple une équation).</t>
        </is>
      </c>
      <c r="H579" s="10" t="inlineStr">
        <is>
          <t>Décrire le raisonnement par analyse-synthèse.</t>
        </is>
      </c>
      <c r="I579" s="9" t="inlineStr">
        <is>
          <t>Analyse : on suppose qu'une solution existe et on en déduit des conditions nécessaires, qui réduisent les candidats. Synthèse : on vérifie quels candidats sont effectivement solutions. Exemple : $\sqrt{x-3}+\sqrt x=3$.</t>
        </is>
      </c>
      <c r="J579" s="9" t="inlineStr">
        <is>
          <t>Cours ; non cité par le programme.</t>
        </is>
      </c>
      <c r="K579" s="9" t="n"/>
      <c r="L579" s="9" t="inlineStr">
        <is>
          <t>Ajout d’après le cours « Logique et raisonnements »</t>
        </is>
      </c>
      <c r="M579" s="11" t="n"/>
      <c r="N579" s="11" t="n"/>
    </row>
    <row r="580">
      <c r="A580" s="9" t="inlineStr">
        <is>
          <t>M580</t>
        </is>
      </c>
      <c r="B580" s="10" t="inlineStr">
        <is>
          <t>Noir – conforme</t>
        </is>
      </c>
      <c r="C580" s="9" t="inlineStr">
        <is>
          <t>BCPST1</t>
        </is>
      </c>
      <c r="D580" s="9" t="inlineStr">
        <is>
          <t>BCPST1 · Outils 5 – Méthodes de calcul</t>
        </is>
      </c>
      <c r="E580" s="9" t="inlineStr">
        <is>
          <t>Définition</t>
        </is>
      </c>
      <c r="F580" s="9" t="inlineStr">
        <is>
          <t>Symboles Σ et Π</t>
        </is>
      </c>
      <c r="G580" s="9" t="inlineStr">
        <is>
          <t>Soient $n_0\le n$ deux entiers et $a_{n_0},\dots,a_n$ des nombres.</t>
        </is>
      </c>
      <c r="H580" s="10" t="inlineStr">
        <is>
          <t>Que désignent $\sum_{k=n_0}^na_k$ et $\prod_{k=n_0}^na_k$ ? Combien de termes ? Que vaut une somme, un produit, sur un ensemble d'indices vide ?</t>
        </is>
      </c>
      <c r="I580" s="9" t="inlineStr">
        <is>
          <t>$\sum_{k=n_0}^na_k=a_{n_0}+\dots+a_n$ et $\prod_{k=n_0}^na_k=a_{n_0}\times\dots\times a_n$ ; il y a $n-n_0+1$ termes ; $k$ est une variable muette. Une somme vide vaut $0$, un produit vide vaut $1$.</t>
        </is>
      </c>
      <c r="J580" s="9" t="inlineStr">
        <is>
          <t>Programme Outils 5 : « Notation Σ. On précise qu'une somme ayant un ensemble d'indices vide est nulle » ; « Notation Π … un produit ayant un ensemble d'indices vide vaut 1. »</t>
        </is>
      </c>
      <c r="K580" s="9" t="n"/>
      <c r="L580" s="9" t="inlineStr">
        <is>
          <t>Ajout d’après le cours « Sommes et produits »</t>
        </is>
      </c>
      <c r="M580" s="11" t="n"/>
      <c r="N580" s="11" t="n"/>
    </row>
    <row r="581">
      <c r="A581" s="9" t="inlineStr">
        <is>
          <t>M581</t>
        </is>
      </c>
      <c r="B581" s="10" t="inlineStr">
        <is>
          <t>Noir – conforme</t>
        </is>
      </c>
      <c r="C581" s="9" t="inlineStr">
        <is>
          <t>BCPST1</t>
        </is>
      </c>
      <c r="D581" s="9" t="inlineStr">
        <is>
          <t>BCPST1 · Outils 5 – Méthodes de calcul</t>
        </is>
      </c>
      <c r="E581" s="9" t="inlineStr">
        <is>
          <t>Propriété</t>
        </is>
      </c>
      <c r="F581" s="9" t="inlineStr">
        <is>
          <t>Règles de calcul sur Σ et Π</t>
        </is>
      </c>
      <c r="G581" s="9" t="inlineStr">
        <is>
          <t>Soient $n_0\le p\le n$, $\lambda$ un nombre et $(a_k)$, $(b_k)$ des nombres.</t>
        </is>
      </c>
      <c r="H581" s="10" t="inlineStr">
        <is>
          <t>Donner la linéarité de $\Sigma$, la relation de Chasles, et les règles correspondantes pour $\Pi$.</t>
        </is>
      </c>
      <c r="I581" s="9" t="inlineStr">
        <is>
          <t>$\sum(a_k+b_k)=\sum a_k+\sum b_k$ ; $\sum\lambda a_k=\lambda\sum a_k$ ; $\sum_{k=n_0}^na_k=\sum_{k=n_0}^pa_k+\sum_{k=p+1}^na_k$. $\prod a_kb_k=\prod a_k\prod b_k$ ; $\prod_{k=n_0}^n\lambda a_k=\lambda^{n-n_0+1}\prod_{k=n_0}^na_k$ ; $\prod_{k=n_0}^na_k=\prod_{k=n_0}^pa_k\times\prod_{k=p+1}^na_k$.</t>
        </is>
      </c>
      <c r="J581" s="9" t="inlineStr">
        <is>
          <t>Programme Outils 5 : « Règles de calcul sur le symbole Σ : linéarité » ; « on se contente de mettre en valeur la multiplicativité du symbole Π. »</t>
        </is>
      </c>
      <c r="K581" s="9" t="n"/>
      <c r="L581" s="9" t="inlineStr">
        <is>
          <t>Ajout d’après le cours « Sommes et produits »</t>
        </is>
      </c>
      <c r="M581" s="11" t="n"/>
      <c r="N581" s="11" t="n"/>
    </row>
    <row r="582">
      <c r="A582" s="9" t="inlineStr">
        <is>
          <t>M582</t>
        </is>
      </c>
      <c r="B582" s="10" t="inlineStr">
        <is>
          <t>Noir – conforme</t>
        </is>
      </c>
      <c r="C582" s="9" t="inlineStr">
        <is>
          <t>BCPST1</t>
        </is>
      </c>
      <c r="D582" s="9" t="inlineStr">
        <is>
          <t>BCPST1 · Outils 5 – Méthodes de calcul</t>
        </is>
      </c>
      <c r="E582" s="9" t="inlineStr">
        <is>
          <t>Méthode</t>
        </is>
      </c>
      <c r="F582" s="9" t="inlineStr">
        <is>
          <t>Changements d’indice</t>
        </is>
      </c>
      <c r="G582" s="9" t="inlineStr">
        <is>
          <t>Soient $n_0\le n$, $p\in\mathbb Z$ et $(a_k)$ des nombres.</t>
        </is>
      </c>
      <c r="H582" s="10" t="inlineStr">
        <is>
          <t>Effectuer dans $\sum_{k=n_0}^na_k$ une translation $j=k+p$, puis une symétrie $j=n-k$ (pour $n_0=0$).</t>
        </is>
      </c>
      <c r="I582" s="9" t="inlineStr">
        <is>
          <t>Translation : $\sum_{k=n_0}^na_k=\sum_{j=n_0+p}^{n+p}a_{j-p}$. Symétrie : $\sum_{k=0}^na_{n-k}=\sum_{j=0}^na_j$. On transforme les bornes en même temps que l'indice.</t>
        </is>
      </c>
      <c r="J582" s="9" t="inlineStr">
        <is>
          <t>Programme Outils 5 : « changements d'indices (translations et symétries) ».</t>
        </is>
      </c>
      <c r="K582" s="9" t="n"/>
      <c r="L582" s="9" t="inlineStr">
        <is>
          <t>Ajout d’après le cours « Sommes et produits »</t>
        </is>
      </c>
      <c r="M582" s="11" t="n"/>
      <c r="N582" s="11" t="n"/>
    </row>
    <row r="583">
      <c r="A583" s="9" t="inlineStr">
        <is>
          <t>M583</t>
        </is>
      </c>
      <c r="B583" s="10" t="inlineStr">
        <is>
          <t>Noir – conforme</t>
        </is>
      </c>
      <c r="C583" s="9" t="inlineStr">
        <is>
          <t>BCPST1</t>
        </is>
      </c>
      <c r="D583" s="9" t="inlineStr">
        <is>
          <t>BCPST1 · Outils 5 – Méthodes de calcul</t>
        </is>
      </c>
      <c r="E583" s="9" t="inlineStr">
        <is>
          <t>Propriété</t>
        </is>
      </c>
      <c r="F583" s="9" t="inlineStr">
        <is>
          <t>Télescopage</t>
        </is>
      </c>
      <c r="G583" s="9" t="inlineStr">
        <is>
          <t>Soient $n_0\le n$ et $(a_k)$ des nombres (non nuls pour le produit).</t>
        </is>
      </c>
      <c r="H583" s="10" t="inlineStr">
        <is>
          <t>Que valent $\sum_{k=n_0}^n(a_{k+1}-a_k)$ et $\prod_{k=n_0}^n\dfrac{a_{k+1}}{a_k}$ ?</t>
        </is>
      </c>
      <c r="I583" s="9" t="inlineStr">
        <is>
          <t>$\sum_{k=n_0}^n(a_{k+1}-a_k)=a_{n+1}-a_{n_0}$ et $\prod_{k=n_0}^n\dfrac{a_{k+1}}{a_k}=\dfrac{a_{n+1}}{a_{n_0}}$. Exemple : $\sum_{k=1}^n\frac1{k(k+1)}=\sum_{k=1}^n\left(\frac1k-\frac1{k+1}\right)=1-\frac1{n+1}$.</t>
        </is>
      </c>
      <c r="J583" s="9" t="inlineStr">
        <is>
          <t>Programme Outils 5 : « télescopages ».</t>
        </is>
      </c>
      <c r="K583" s="9" t="n"/>
      <c r="L583" s="9" t="inlineStr">
        <is>
          <t>Ajout d’après le cours « Sommes et produits »</t>
        </is>
      </c>
      <c r="M583" s="11" t="n"/>
      <c r="N583" s="11" t="n"/>
    </row>
    <row r="584">
      <c r="A584" s="9" t="inlineStr">
        <is>
          <t>M584</t>
        </is>
      </c>
      <c r="B584" s="10" t="inlineStr">
        <is>
          <t>Noir – conforme</t>
        </is>
      </c>
      <c r="C584" s="9" t="inlineStr">
        <is>
          <t>BCPST1</t>
        </is>
      </c>
      <c r="D584" s="9" t="inlineStr">
        <is>
          <t>BCPST1 · Outils 5 – Méthodes de calcul</t>
        </is>
      </c>
      <c r="E584" s="9" t="inlineStr">
        <is>
          <t>Propriété</t>
        </is>
      </c>
      <c r="F584" s="9" t="inlineStr">
        <is>
          <t>Somme des n premiers carrés</t>
        </is>
      </c>
      <c r="G584" s="9" t="inlineStr">
        <is>
          <t>Soit $n\in\mathbb N$.</t>
        </is>
      </c>
      <c r="H584" s="10" t="inlineStr">
        <is>
          <t>Calculer $\sum_{k=1}^nk^2$.</t>
        </is>
      </c>
      <c r="I584" s="9" t="inlineStr">
        <is>
          <t>$\sum_{k=1}^nk^2=\dfrac{n(n+1)(2n+1)}6$.</t>
        </is>
      </c>
      <c r="J584" s="9" t="inlineStr">
        <is>
          <t>Programme Outils 5 : « Sommes des n premiers entiers et des n premiers carrés. »</t>
        </is>
      </c>
      <c r="K584" s="9" t="n"/>
      <c r="L584" s="9" t="inlineStr">
        <is>
          <t>Ajout d’après le cours « Sommes et produits »</t>
        </is>
      </c>
      <c r="M584" s="11" t="n"/>
      <c r="N584" s="11" t="n"/>
    </row>
    <row r="585">
      <c r="A585" s="9" t="inlineStr">
        <is>
          <t>M585</t>
        </is>
      </c>
      <c r="B585" s="10" t="inlineStr">
        <is>
          <t>Orange – incertain</t>
        </is>
      </c>
      <c r="C585" s="9" t="inlineStr">
        <is>
          <t>BCPST1</t>
        </is>
      </c>
      <c r="D585" s="9" t="inlineStr">
        <is>
          <t>BCPST1 · Outils 5 – Méthodes de calcul</t>
        </is>
      </c>
      <c r="E585" s="9" t="inlineStr">
        <is>
          <t>Propriété</t>
        </is>
      </c>
      <c r="F585" s="9" t="inlineStr">
        <is>
          <t>Somme des n premiers cubes</t>
        </is>
      </c>
      <c r="G585" s="9" t="inlineStr">
        <is>
          <t>Soit $n\in\mathbb N$.</t>
        </is>
      </c>
      <c r="H585" s="10" t="inlineStr">
        <is>
          <t>Calculer $\sum_{k=1}^nk^3$.</t>
        </is>
      </c>
      <c r="I585" s="9" t="inlineStr">
        <is>
          <t>$\sum_{k=1}^nk^3=\left(\dfrac{n(n+1)}2\right)^2$ (le carré de la somme des $n$ premiers entiers).</t>
        </is>
      </c>
      <c r="J585" s="9" t="inlineStr">
        <is>
          <t>Cours (« à connaître par cœur ») ; le programme ne cite que les entiers et les carrés.</t>
        </is>
      </c>
      <c r="K585" s="9" t="n"/>
      <c r="L585" s="9" t="inlineStr">
        <is>
          <t>Ajout d’après le cours « Sommes et produits »</t>
        </is>
      </c>
      <c r="M585" s="11" t="n"/>
      <c r="N585" s="11" t="n"/>
    </row>
    <row r="586">
      <c r="A586" s="9" t="inlineStr">
        <is>
          <t>M586</t>
        </is>
      </c>
      <c r="B586" s="10" t="inlineStr">
        <is>
          <t>Noir – conforme</t>
        </is>
      </c>
      <c r="C586" s="9" t="inlineStr">
        <is>
          <t>BCPST1</t>
        </is>
      </c>
      <c r="D586" s="9" t="inlineStr">
        <is>
          <t>BCPST1 · Outils 5 – Méthodes de calcul</t>
        </is>
      </c>
      <c r="E586" s="9" t="inlineStr">
        <is>
          <t>Propriété</t>
        </is>
      </c>
      <c r="F586" s="9" t="inlineStr">
        <is>
          <t>Somme géométrique</t>
        </is>
      </c>
      <c r="G586" s="9" t="inlineStr">
        <is>
          <t>Soient $q\in\mathbb C\setminus\{1\}$ et $n_0\le n$.</t>
        </is>
      </c>
      <c r="H586" s="10" t="inlineStr">
        <is>
          <t>Calculer $\sum_{k=0}^nq^k$, puis la somme des termes $u_{n_0},\dots,u_n$ d'une suite géométrique de raison $q$.</t>
        </is>
      </c>
      <c r="I586" s="9" t="inlineStr">
        <is>
          <t>$\sum_{k=0}^nq^k=\dfrac{q^{n+1}-1}{q-1}=\dfrac{1-q^{n+1}}{1-q}$ ; $\sum_{k=n_0}^nu_k=u_{n_0}\dfrac{1-q^{n-n_0+1}}{1-q}$ (premier terme × $\frac{1-q^{\text{nombre de termes}}}{1-q}$). Si $q=1$, la somme vaut $n+1$.</t>
        </is>
      </c>
      <c r="J586" s="9" t="inlineStr">
        <is>
          <t>Programme Outils 5 : « Somme de termes consécutifs d'une progression géométrique … La raison q est dans ℂ ∖ {1}. »</t>
        </is>
      </c>
      <c r="K586" s="9" t="n"/>
      <c r="L586" s="9" t="inlineStr">
        <is>
          <t>Ajout d’après le cours « Sommes et produits »</t>
        </is>
      </c>
      <c r="M586" s="11" t="n"/>
      <c r="N586" s="11" t="n"/>
    </row>
    <row r="587">
      <c r="A587" s="9" t="inlineStr">
        <is>
          <t>M587</t>
        </is>
      </c>
      <c r="B587" s="10" t="inlineStr">
        <is>
          <t>Noir – conforme</t>
        </is>
      </c>
      <c r="C587" s="9" t="inlineStr">
        <is>
          <t>BCPST1</t>
        </is>
      </c>
      <c r="D587" s="9" t="inlineStr">
        <is>
          <t>BCPST1 · Outils 5 – Méthodes de calcul</t>
        </is>
      </c>
      <c r="E587" s="9" t="inlineStr">
        <is>
          <t>Méthode</t>
        </is>
      </c>
      <c r="F587" s="9" t="inlineStr">
        <is>
          <t>Sommes doubles</t>
        </is>
      </c>
      <c r="G587" s="9" t="inlineStr">
        <is>
          <t>Soient $n,m\in\mathbb N^*$ et $(a_{i,j})$ des nombres.</t>
        </is>
      </c>
      <c r="H587" s="10" t="inlineStr">
        <is>
          <t>Écrire $\sum_{1\le i\le n,\,1\le j\le m}a_{i,j}$ et $\sum_{1\le i\le j\le n}a_{i,j}$ comme deux sommes simples successives.</t>
        </is>
      </c>
      <c r="I587" s="9" t="inlineStr">
        <is>
          <t>$\sum_{\substack{1\le i\le n\\1\le j\le m}}a_{i,j}=\sum_{i=1}^n\sum_{j=1}^ma_{i,j}=\sum_{j=1}^m\sum_{i=1}^na_{i,j}$ ; $\sum_{1\le i\le j\le n}a_{i,j}=\sum_{i=1}^n\sum_{j=i}^na_{i,j}=\sum_{j=1}^n\sum_{i=1}^ja_{i,j}$.</t>
        </is>
      </c>
      <c r="J587" s="9" t="inlineStr">
        <is>
          <t>Programme Outils 5 : « Sommes doubles … mettre sous la forme de deux sommes simples successives. »</t>
        </is>
      </c>
      <c r="K587" s="9" t="n"/>
      <c r="L587" s="9" t="inlineStr">
        <is>
          <t>Ajout d’après le cours « Sommes et produits »</t>
        </is>
      </c>
      <c r="M587" s="11" t="n"/>
      <c r="N587" s="11" t="n"/>
    </row>
    <row r="588">
      <c r="A588" s="9" t="inlineStr">
        <is>
          <t>M588</t>
        </is>
      </c>
      <c r="B588" s="10" t="inlineStr">
        <is>
          <t>Noir – conforme</t>
        </is>
      </c>
      <c r="C588" s="9" t="inlineStr">
        <is>
          <t>BCPST1</t>
        </is>
      </c>
      <c r="D588" s="9" t="inlineStr">
        <is>
          <t>BCPST1 · Analyse 1 – Suites réelles usuelles</t>
        </is>
      </c>
      <c r="E588" s="9" t="inlineStr">
        <is>
          <t>Méthode</t>
        </is>
      </c>
      <c r="F588" s="9" t="inlineStr">
        <is>
          <t>Suites arithmético-géométriques</t>
        </is>
      </c>
      <c r="G588" s="9" t="inlineStr">
        <is>
          <t>Soient $(a,b)\in\mathbb R^2$ et $(u_n)$ telle que $u_{n+1}=au_n+b$ pour tout $n$.</t>
        </is>
      </c>
      <c r="H588" s="10" t="inlineStr">
        <is>
          <t>Comment obtenir l'expression de $u_n$ en fonction de $n$ ?</t>
        </is>
      </c>
      <c r="I588" s="9" t="inlineStr">
        <is>
          <t>Si $a=1$, $(u_n)$ est arithmétique de raison $b$. Si $a\neq1$ : on cherche la suite constante solution, $L=aL+b$ (soit $L=\frac b{1-a}$) ; alors $v_n=u_n-L$ vérifie $v_{n+1}=av_n$, elle est géométrique de raison $a$ ; donc $u_n=L+a^n(u_0-L)$.</t>
        </is>
      </c>
      <c r="J588" s="9" t="inlineStr">
        <is>
          <t>Programme Analyse 1 : « La formule donnant le terme général n'est pas au programme. On cherchera une suite constante solution pour déterminer toutes les solutions. »</t>
        </is>
      </c>
      <c r="K588" s="9" t="n"/>
      <c r="L588" s="9" t="inlineStr">
        <is>
          <t>Ajout d’après le cours « Suites récurrentes classiques »</t>
        </is>
      </c>
      <c r="M588" s="11" t="n"/>
      <c r="N588" s="11" t="n"/>
    </row>
    <row r="589">
      <c r="A589" s="9" t="inlineStr">
        <is>
          <t>M589</t>
        </is>
      </c>
      <c r="B589" s="10" t="inlineStr">
        <is>
          <t>Noir – conforme</t>
        </is>
      </c>
      <c r="C589" s="9" t="inlineStr">
        <is>
          <t>BCPST1</t>
        </is>
      </c>
      <c r="D589" s="9" t="inlineStr">
        <is>
          <t>BCPST1 · Analyse 1 – Suites réelles usuelles</t>
        </is>
      </c>
      <c r="E589" s="9" t="inlineStr">
        <is>
          <t>Théorème</t>
        </is>
      </c>
      <c r="F589" s="9" t="inlineStr">
        <is>
          <t>Suites récurrentes linéaires d’ordre 2</t>
        </is>
      </c>
      <c r="G589" s="9" t="inlineStr">
        <is>
          <t>Soient $a\in\mathbb R$, $b\in\mathbb R^*$ et $(u_n)$ réelle telle que $u_{n+2}=au_{n+1}+bu_n$ pour tout $n$.</t>
        </is>
      </c>
      <c r="H589" s="10" t="inlineStr">
        <is>
          <t>Quelle est l'équation caractéristique ? Donner la forme de $u_n$ selon le signe de son discriminant $\Delta$.</t>
        </is>
      </c>
      <c r="I589" s="9" t="inlineStr">
        <is>
          <t>Équation caractéristique : $x^2=ax+b$. Si $\Delta&gt;0$ (racines réelles $x_1\neq x_2$) : $u_n=\alpha x_1^n+\beta x_2^n$. Si $\Delta=0$ (racine double $x_0$) : $u_n=(\alpha n+\beta)x_0^n$. Si $\Delta&lt;0$ (racines $re^{\pm i\theta}$, $r&gt;0$) : $u_n=r^n(\alpha\cos n\theta+\beta\sin n\theta)$. Les réels $\alpha,\beta$ sont uniques, fixés par $u_0$ et $u_1$.</t>
        </is>
      </c>
      <c r="J589" s="9" t="inlineStr">
        <is>
          <t>Programme Analyse 1 : « Suites vérifiant une relation du type $u_{n+2}=au_{n+1}+bu_n$. On se limite à la maitrise d'une méthode de calcul du n-ième terme à partir de l'équation caractéristique. Au besoin, on transite par ℂ. »</t>
        </is>
      </c>
      <c r="K589" s="9" t="n"/>
      <c r="L589" s="9" t="inlineStr">
        <is>
          <t>Ajout d’après le cours « Suites récurrentes classiques »</t>
        </is>
      </c>
      <c r="M589" s="11" t="n"/>
      <c r="N589" s="11" t="n"/>
    </row>
  </sheetData>
  <autoFilter ref="A1:N461"/>
  <dataValidations count="1">
    <dataValidation sqref="M2:M589"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sheetData>
  <autoFilter ref="A1:M60"/>
  <dataValidations count="1">
    <dataValidation sqref="L2:L6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COUNTIF(Fiches!$B$2:$B$589,A4)</f>
        <v/>
      </c>
      <c r="C4" s="22">
        <f>IF($B$7=0,0,B4/$B$7)</f>
        <v/>
      </c>
    </row>
    <row r="5">
      <c r="A5" s="23" t="inlineStr">
        <is>
          <t>Orange – incertain</t>
        </is>
      </c>
      <c r="B5" s="21">
        <f>COUNTIF(Fiches!$B$2:$B$589,A5)</f>
        <v/>
      </c>
      <c r="C5" s="22">
        <f>IF($B$7=0,0,B5/$B$7)</f>
        <v/>
      </c>
    </row>
    <row r="6">
      <c r="A6" s="24" t="inlineStr">
        <is>
          <t>Rouge – hors programme</t>
        </is>
      </c>
      <c r="B6" s="21">
        <f>COUNTIF(Fiches!$B$2:$B$589,A6)</f>
        <v/>
      </c>
      <c r="C6" s="22">
        <f>IF($B$7=0,0,B6/$B$7)</f>
        <v/>
      </c>
    </row>
    <row r="7">
      <c r="A7" s="25" t="inlineStr">
        <is>
          <t>Total</t>
        </is>
      </c>
      <c r="B7" s="25">
        <f>SUM(B4:B6)</f>
        <v/>
      </c>
    </row>
    <row r="8"/>
    <row r="9">
      <c r="A9" s="25" t="inlineStr">
        <is>
          <t>Décisions saisies</t>
        </is>
      </c>
      <c r="B9" s="21">
        <f>COUNTA(Fiches!$M$2:$M$589)</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COUNTIFS(Fiches!$D$2:$D$589,$A13,Fiches!$B$2:$B$589,"Noir – conforme")</f>
        <v/>
      </c>
      <c r="C13" s="27">
        <f>COUNTIFS(Fiches!$D$2:$D$589,$A13,Fiches!$B$2:$B$589,"Orange – incertain")</f>
        <v/>
      </c>
      <c r="D13" s="28">
        <f>COUNTIFS(Fiches!$D$2:$D$589,$A13,Fiches!$B$2:$B$589,"Rouge – hors programme")</f>
        <v/>
      </c>
      <c r="E13" s="25">
        <f>SUM(B13:D13)</f>
        <v/>
      </c>
    </row>
    <row r="14">
      <c r="A14" s="21" t="inlineStr">
        <is>
          <t>BCPST1 · Outils 2 – Nombres réels</t>
        </is>
      </c>
      <c r="B14" s="26">
        <f>COUNTIFS(Fiches!$D$2:$D$589,$A14,Fiches!$B$2:$B$589,"Noir – conforme")</f>
        <v/>
      </c>
      <c r="C14" s="27">
        <f>COUNTIFS(Fiches!$D$2:$D$589,$A14,Fiches!$B$2:$B$589,"Orange – incertain")</f>
        <v/>
      </c>
      <c r="D14" s="28">
        <f>COUNTIFS(Fiches!$D$2:$D$589,$A14,Fiches!$B$2:$B$589,"Rouge – hors programme")</f>
        <v/>
      </c>
      <c r="E14" s="25">
        <f>SUM(B14:D14)</f>
        <v/>
      </c>
    </row>
    <row r="15">
      <c r="A15" s="21" t="inlineStr">
        <is>
          <t>BCPST1 · Outils 3 – Trigonométrie</t>
        </is>
      </c>
      <c r="B15" s="26">
        <f>COUNTIFS(Fiches!$D$2:$D$589,$A15,Fiches!$B$2:$B$589,"Noir – conforme")</f>
        <v/>
      </c>
      <c r="C15" s="27">
        <f>COUNTIFS(Fiches!$D$2:$D$589,$A15,Fiches!$B$2:$B$589,"Orange – incertain")</f>
        <v/>
      </c>
      <c r="D15" s="28">
        <f>COUNTIFS(Fiches!$D$2:$D$589,$A15,Fiches!$B$2:$B$589,"Rouge – hors programme")</f>
        <v/>
      </c>
      <c r="E15" s="25">
        <f>SUM(B15:D15)</f>
        <v/>
      </c>
    </row>
    <row r="16">
      <c r="A16" s="21" t="inlineStr">
        <is>
          <t>BCPST1 · Outils 4 – Nombres complexes</t>
        </is>
      </c>
      <c r="B16" s="26">
        <f>COUNTIFS(Fiches!$D$2:$D$589,$A16,Fiches!$B$2:$B$589,"Noir – conforme")</f>
        <v/>
      </c>
      <c r="C16" s="27">
        <f>COUNTIFS(Fiches!$D$2:$D$589,$A16,Fiches!$B$2:$B$589,"Orange – incertain")</f>
        <v/>
      </c>
      <c r="D16" s="28">
        <f>COUNTIFS(Fiches!$D$2:$D$589,$A16,Fiches!$B$2:$B$589,"Rouge – hors programme")</f>
        <v/>
      </c>
      <c r="E16" s="25">
        <f>SUM(B16:D16)</f>
        <v/>
      </c>
    </row>
    <row r="17">
      <c r="A17" s="21" t="inlineStr">
        <is>
          <t>BCPST1 · Outils 5 – Méthodes de calcul</t>
        </is>
      </c>
      <c r="B17" s="26">
        <f>COUNTIFS(Fiches!$D$2:$D$589,$A17,Fiches!$B$2:$B$589,"Noir – conforme")</f>
        <v/>
      </c>
      <c r="C17" s="27">
        <f>COUNTIFS(Fiches!$D$2:$D$589,$A17,Fiches!$B$2:$B$589,"Orange – incertain")</f>
        <v/>
      </c>
      <c r="D17" s="28">
        <f>COUNTIFS(Fiches!$D$2:$D$589,$A17,Fiches!$B$2:$B$589,"Rouge – hors programme")</f>
        <v/>
      </c>
      <c r="E17" s="25">
        <f>SUM(B17:D17)</f>
        <v/>
      </c>
    </row>
    <row r="18">
      <c r="A18" s="21" t="inlineStr">
        <is>
          <t>BCPST1 · Outils 6 – Vocabulaire des applications</t>
        </is>
      </c>
      <c r="B18" s="26">
        <f>COUNTIFS(Fiches!$D$2:$D$589,$A18,Fiches!$B$2:$B$589,"Noir – conforme")</f>
        <v/>
      </c>
      <c r="C18" s="27">
        <f>COUNTIFS(Fiches!$D$2:$D$589,$A18,Fiches!$B$2:$B$589,"Orange – incertain")</f>
        <v/>
      </c>
      <c r="D18" s="28">
        <f>COUNTIFS(Fiches!$D$2:$D$589,$A18,Fiches!$B$2:$B$589,"Rouge – hors programme")</f>
        <v/>
      </c>
      <c r="E18" s="25">
        <f>SUM(B18:D18)</f>
        <v/>
      </c>
    </row>
    <row r="19">
      <c r="A19" s="21" t="inlineStr">
        <is>
          <t>BCPST1 · Outils 7 – Dénombrement</t>
        </is>
      </c>
      <c r="B19" s="26">
        <f>COUNTIFS(Fiches!$D$2:$D$589,$A19,Fiches!$B$2:$B$589,"Noir – conforme")</f>
        <v/>
      </c>
      <c r="C19" s="27">
        <f>COUNTIFS(Fiches!$D$2:$D$589,$A19,Fiches!$B$2:$B$589,"Orange – incertain")</f>
        <v/>
      </c>
      <c r="D19" s="28">
        <f>COUNTIFS(Fiches!$D$2:$D$589,$A19,Fiches!$B$2:$B$589,"Rouge – hors programme")</f>
        <v/>
      </c>
      <c r="E19" s="25">
        <f>SUM(B19:D19)</f>
        <v/>
      </c>
    </row>
    <row r="20">
      <c r="A20" s="21" t="inlineStr">
        <is>
          <t>BCPST1 · Analyse 1 – Suites réelles usuelles</t>
        </is>
      </c>
      <c r="B20" s="26">
        <f>COUNTIFS(Fiches!$D$2:$D$589,$A20,Fiches!$B$2:$B$589,"Noir – conforme")</f>
        <v/>
      </c>
      <c r="C20" s="27">
        <f>COUNTIFS(Fiches!$D$2:$D$589,$A20,Fiches!$B$2:$B$589,"Orange – incertain")</f>
        <v/>
      </c>
      <c r="D20" s="28">
        <f>COUNTIFS(Fiches!$D$2:$D$589,$A20,Fiches!$B$2:$B$589,"Rouge – hors programme")</f>
        <v/>
      </c>
      <c r="E20" s="25">
        <f>SUM(B20:D20)</f>
        <v/>
      </c>
    </row>
    <row r="21">
      <c r="A21" s="21" t="inlineStr">
        <is>
          <t>BCPST1 · Analyse 2 – Fonctions réelles usuelles</t>
        </is>
      </c>
      <c r="B21" s="26">
        <f>COUNTIFS(Fiches!$D$2:$D$589,$A21,Fiches!$B$2:$B$589,"Noir – conforme")</f>
        <v/>
      </c>
      <c r="C21" s="27">
        <f>COUNTIFS(Fiches!$D$2:$D$589,$A21,Fiches!$B$2:$B$589,"Orange – incertain")</f>
        <v/>
      </c>
      <c r="D21" s="28">
        <f>COUNTIFS(Fiches!$D$2:$D$589,$A21,Fiches!$B$2:$B$589,"Rouge – hors programme")</f>
        <v/>
      </c>
      <c r="E21" s="25">
        <f>SUM(B21:D21)</f>
        <v/>
      </c>
    </row>
    <row r="22">
      <c r="A22" s="21" t="inlineStr">
        <is>
          <t>BCPST1 · Analyse 3 – Dérivées, primitives, intégrales</t>
        </is>
      </c>
      <c r="B22" s="26">
        <f>COUNTIFS(Fiches!$D$2:$D$589,$A22,Fiches!$B$2:$B$589,"Noir – conforme")</f>
        <v/>
      </c>
      <c r="C22" s="27">
        <f>COUNTIFS(Fiches!$D$2:$D$589,$A22,Fiches!$B$2:$B$589,"Orange – incertain")</f>
        <v/>
      </c>
      <c r="D22" s="28">
        <f>COUNTIFS(Fiches!$D$2:$D$589,$A22,Fiches!$B$2:$B$589,"Rouge – hors programme")</f>
        <v/>
      </c>
      <c r="E22" s="25">
        <f>SUM(B22:D22)</f>
        <v/>
      </c>
    </row>
    <row r="23">
      <c r="A23" s="21" t="inlineStr">
        <is>
          <t>BCPST1 · Analyse 4 – Équations différentielles linéaires</t>
        </is>
      </c>
      <c r="B23" s="26">
        <f>COUNTIFS(Fiches!$D$2:$D$589,$A23,Fiches!$B$2:$B$589,"Noir – conforme")</f>
        <v/>
      </c>
      <c r="C23" s="27">
        <f>COUNTIFS(Fiches!$D$2:$D$589,$A23,Fiches!$B$2:$B$589,"Orange – incertain")</f>
        <v/>
      </c>
      <c r="D23" s="28">
        <f>COUNTIFS(Fiches!$D$2:$D$589,$A23,Fiches!$B$2:$B$589,"Rouge – hors programme")</f>
        <v/>
      </c>
      <c r="E23" s="25">
        <f>SUM(B23:D23)</f>
        <v/>
      </c>
    </row>
    <row r="24">
      <c r="A24" s="21" t="inlineStr">
        <is>
          <t>BCPST1 · Algèbre linéaire 1 – Systèmes linéaires</t>
        </is>
      </c>
      <c r="B24" s="26">
        <f>COUNTIFS(Fiches!$D$2:$D$589,$A24,Fiches!$B$2:$B$589,"Noir – conforme")</f>
        <v/>
      </c>
      <c r="C24" s="27">
        <f>COUNTIFS(Fiches!$D$2:$D$589,$A24,Fiches!$B$2:$B$589,"Orange – incertain")</f>
        <v/>
      </c>
      <c r="D24" s="28">
        <f>COUNTIFS(Fiches!$D$2:$D$589,$A24,Fiches!$B$2:$B$589,"Rouge – hors programme")</f>
        <v/>
      </c>
      <c r="E24" s="25">
        <f>SUM(B24:D24)</f>
        <v/>
      </c>
    </row>
    <row r="25">
      <c r="A25" s="21" t="inlineStr">
        <is>
          <t>BCPST1 · Algèbre linéaire 2 – Matrices</t>
        </is>
      </c>
      <c r="B25" s="26">
        <f>COUNTIFS(Fiches!$D$2:$D$589,$A25,Fiches!$B$2:$B$589,"Noir – conforme")</f>
        <v/>
      </c>
      <c r="C25" s="27">
        <f>COUNTIFS(Fiches!$D$2:$D$589,$A25,Fiches!$B$2:$B$589,"Orange – incertain")</f>
        <v/>
      </c>
      <c r="D25" s="28">
        <f>COUNTIFS(Fiches!$D$2:$D$589,$A25,Fiches!$B$2:$B$589,"Rouge – hors programme")</f>
        <v/>
      </c>
      <c r="E25" s="25">
        <f>SUM(B25:D25)</f>
        <v/>
      </c>
    </row>
    <row r="26">
      <c r="A26" s="21" t="inlineStr">
        <is>
          <t>BCPST1 · Géométrie 1</t>
        </is>
      </c>
      <c r="B26" s="26">
        <f>COUNTIFS(Fiches!$D$2:$D$589,$A26,Fiches!$B$2:$B$589,"Noir – conforme")</f>
        <v/>
      </c>
      <c r="C26" s="27">
        <f>COUNTIFS(Fiches!$D$2:$D$589,$A26,Fiches!$B$2:$B$589,"Orange – incertain")</f>
        <v/>
      </c>
      <c r="D26" s="28">
        <f>COUNTIFS(Fiches!$D$2:$D$589,$A26,Fiches!$B$2:$B$589,"Rouge – hors programme")</f>
        <v/>
      </c>
      <c r="E26" s="25">
        <f>SUM(B26:D26)</f>
        <v/>
      </c>
    </row>
    <row r="27">
      <c r="A27" s="21" t="inlineStr">
        <is>
          <t>BCPST1 · Algèbre – Polynômes réels</t>
        </is>
      </c>
      <c r="B27" s="26">
        <f>COUNTIFS(Fiches!$D$2:$D$589,$A27,Fiches!$B$2:$B$589,"Noir – conforme")</f>
        <v/>
      </c>
      <c r="C27" s="27">
        <f>COUNTIFS(Fiches!$D$2:$D$589,$A27,Fiches!$B$2:$B$589,"Orange – incertain")</f>
        <v/>
      </c>
      <c r="D27" s="28">
        <f>COUNTIFS(Fiches!$D$2:$D$589,$A27,Fiches!$B$2:$B$589,"Rouge – hors programme")</f>
        <v/>
      </c>
      <c r="E27" s="25">
        <f>SUM(B27:D27)</f>
        <v/>
      </c>
    </row>
    <row r="28">
      <c r="A28" s="21" t="inlineStr">
        <is>
          <t>BCPST1 · Analyse 5 – Suites réelles</t>
        </is>
      </c>
      <c r="B28" s="26">
        <f>COUNTIFS(Fiches!$D$2:$D$589,$A28,Fiches!$B$2:$B$589,"Noir – conforme")</f>
        <v/>
      </c>
      <c r="C28" s="27">
        <f>COUNTIFS(Fiches!$D$2:$D$589,$A28,Fiches!$B$2:$B$589,"Orange – incertain")</f>
        <v/>
      </c>
      <c r="D28" s="28">
        <f>COUNTIFS(Fiches!$D$2:$D$589,$A28,Fiches!$B$2:$B$589,"Rouge – hors programme")</f>
        <v/>
      </c>
      <c r="E28" s="25">
        <f>SUM(B28:D28)</f>
        <v/>
      </c>
    </row>
    <row r="29">
      <c r="A29" s="21" t="inlineStr">
        <is>
          <t>BCPST1 · Analyse 6 – Limites, continuité</t>
        </is>
      </c>
      <c r="B29" s="26">
        <f>COUNTIFS(Fiches!$D$2:$D$589,$A29,Fiches!$B$2:$B$589,"Noir – conforme")</f>
        <v/>
      </c>
      <c r="C29" s="27">
        <f>COUNTIFS(Fiches!$D$2:$D$589,$A29,Fiches!$B$2:$B$589,"Orange – incertain")</f>
        <v/>
      </c>
      <c r="D29" s="28">
        <f>COUNTIFS(Fiches!$D$2:$D$589,$A29,Fiches!$B$2:$B$589,"Rouge – hors programme")</f>
        <v/>
      </c>
      <c r="E29" s="25">
        <f>SUM(B29:D29)</f>
        <v/>
      </c>
    </row>
    <row r="30">
      <c r="A30" s="21" t="inlineStr">
        <is>
          <t>BCPST1 · Analyse 7 – Dérivation</t>
        </is>
      </c>
      <c r="B30" s="26">
        <f>COUNTIFS(Fiches!$D$2:$D$589,$A30,Fiches!$B$2:$B$589,"Noir – conforme")</f>
        <v/>
      </c>
      <c r="C30" s="27">
        <f>COUNTIFS(Fiches!$D$2:$D$589,$A30,Fiches!$B$2:$B$589,"Orange – incertain")</f>
        <v/>
      </c>
      <c r="D30" s="28">
        <f>COUNTIFS(Fiches!$D$2:$D$589,$A30,Fiches!$B$2:$B$589,"Rouge – hors programme")</f>
        <v/>
      </c>
      <c r="E30" s="25">
        <f>SUM(B30:D30)</f>
        <v/>
      </c>
    </row>
    <row r="31">
      <c r="A31" s="21" t="inlineStr">
        <is>
          <t>BCPST1 · Analyse 8 – Intégration sur un segment</t>
        </is>
      </c>
      <c r="B31" s="26">
        <f>COUNTIFS(Fiches!$D$2:$D$589,$A31,Fiches!$B$2:$B$589,"Noir – conforme")</f>
        <v/>
      </c>
      <c r="C31" s="27">
        <f>COUNTIFS(Fiches!$D$2:$D$589,$A31,Fiches!$B$2:$B$589,"Orange – incertain")</f>
        <v/>
      </c>
      <c r="D31" s="28">
        <f>COUNTIFS(Fiches!$D$2:$D$589,$A31,Fiches!$B$2:$B$589,"Rouge – hors programme")</f>
        <v/>
      </c>
      <c r="E31" s="25">
        <f>SUM(B31:D31)</f>
        <v/>
      </c>
    </row>
    <row r="32">
      <c r="A32" s="21" t="inlineStr">
        <is>
          <t>BCPST1 · Analyse 9 – Développements limités</t>
        </is>
      </c>
      <c r="B32" s="26">
        <f>COUNTIFS(Fiches!$D$2:$D$589,$A32,Fiches!$B$2:$B$589,"Noir – conforme")</f>
        <v/>
      </c>
      <c r="C32" s="27">
        <f>COUNTIFS(Fiches!$D$2:$D$589,$A32,Fiches!$B$2:$B$589,"Orange – incertain")</f>
        <v/>
      </c>
      <c r="D32" s="28">
        <f>COUNTIFS(Fiches!$D$2:$D$589,$A32,Fiches!$B$2:$B$589,"Rouge – hors programme")</f>
        <v/>
      </c>
      <c r="E32" s="25">
        <f>SUM(B32:D32)</f>
        <v/>
      </c>
    </row>
    <row r="33">
      <c r="A33" s="21" t="inlineStr">
        <is>
          <t>BCPST1 · Analyse 10 – Fonctions de deux variables</t>
        </is>
      </c>
      <c r="B33" s="26">
        <f>COUNTIFS(Fiches!$D$2:$D$589,$A33,Fiches!$B$2:$B$589,"Noir – conforme")</f>
        <v/>
      </c>
      <c r="C33" s="27">
        <f>COUNTIFS(Fiches!$D$2:$D$589,$A33,Fiches!$B$2:$B$589,"Orange – incertain")</f>
        <v/>
      </c>
      <c r="D33" s="28">
        <f>COUNTIFS(Fiches!$D$2:$D$589,$A33,Fiches!$B$2:$B$589,"Rouge – hors programme")</f>
        <v/>
      </c>
      <c r="E33" s="25">
        <f>SUM(B33:D33)</f>
        <v/>
      </c>
    </row>
    <row r="34">
      <c r="A34" s="21" t="inlineStr">
        <is>
          <t>BCPST1 · Probabilités 1 – Concepts de base</t>
        </is>
      </c>
      <c r="B34" s="26">
        <f>COUNTIFS(Fiches!$D$2:$D$589,$A34,Fiches!$B$2:$B$589,"Noir – conforme")</f>
        <v/>
      </c>
      <c r="C34" s="27">
        <f>COUNTIFS(Fiches!$D$2:$D$589,$A34,Fiches!$B$2:$B$589,"Orange – incertain")</f>
        <v/>
      </c>
      <c r="D34" s="28">
        <f>COUNTIFS(Fiches!$D$2:$D$589,$A34,Fiches!$B$2:$B$589,"Rouge – hors programme")</f>
        <v/>
      </c>
      <c r="E34" s="25">
        <f>SUM(B34:D34)</f>
        <v/>
      </c>
    </row>
    <row r="35">
      <c r="A35" s="21" t="inlineStr">
        <is>
          <t>BCPST1 · Probabilités 2 – Variables sur un univers fini</t>
        </is>
      </c>
      <c r="B35" s="26">
        <f>COUNTIFS(Fiches!$D$2:$D$589,$A35,Fiches!$B$2:$B$589,"Noir – conforme")</f>
        <v/>
      </c>
      <c r="C35" s="27">
        <f>COUNTIFS(Fiches!$D$2:$D$589,$A35,Fiches!$B$2:$B$589,"Orange – incertain")</f>
        <v/>
      </c>
      <c r="D35" s="28">
        <f>COUNTIFS(Fiches!$D$2:$D$589,$A35,Fiches!$B$2:$B$589,"Rouge – hors programme")</f>
        <v/>
      </c>
      <c r="E35" s="25">
        <f>SUM(B35:D35)</f>
        <v/>
      </c>
    </row>
    <row r="36">
      <c r="A36" s="21" t="inlineStr">
        <is>
          <t>BCPST2 · Analyse 1 – Séries réelles</t>
        </is>
      </c>
      <c r="B36" s="26">
        <f>COUNTIFS(Fiches!$D$2:$D$589,$A36,Fiches!$B$2:$B$589,"Noir – conforme")</f>
        <v/>
      </c>
      <c r="C36" s="27">
        <f>COUNTIFS(Fiches!$D$2:$D$589,$A36,Fiches!$B$2:$B$589,"Orange – incertain")</f>
        <v/>
      </c>
      <c r="D36" s="28">
        <f>COUNTIFS(Fiches!$D$2:$D$589,$A36,Fiches!$B$2:$B$589,"Rouge – hors programme")</f>
        <v/>
      </c>
      <c r="E36" s="25">
        <f>SUM(B36:D36)</f>
        <v/>
      </c>
    </row>
    <row r="37">
      <c r="A37" s="21" t="inlineStr">
        <is>
          <t>BCPST2 · Analyse 2 – Intégrales généralisées</t>
        </is>
      </c>
      <c r="B37" s="26">
        <f>COUNTIFS(Fiches!$D$2:$D$589,$A37,Fiches!$B$2:$B$589,"Noir – conforme")</f>
        <v/>
      </c>
      <c r="C37" s="27">
        <f>COUNTIFS(Fiches!$D$2:$D$589,$A37,Fiches!$B$2:$B$589,"Orange – incertain")</f>
        <v/>
      </c>
      <c r="D37" s="28">
        <f>COUNTIFS(Fiches!$D$2:$D$589,$A37,Fiches!$B$2:$B$589,"Rouge – hors programme")</f>
        <v/>
      </c>
      <c r="E37" s="25">
        <f>SUM(B37:D37)</f>
        <v/>
      </c>
    </row>
    <row r="38">
      <c r="A38" s="21" t="inlineStr">
        <is>
          <t>BCPST2 · Algèbre – Polynômes</t>
        </is>
      </c>
      <c r="B38" s="26">
        <f>COUNTIFS(Fiches!$D$2:$D$589,$A38,Fiches!$B$2:$B$589,"Noir – conforme")</f>
        <v/>
      </c>
      <c r="C38" s="27">
        <f>COUNTIFS(Fiches!$D$2:$D$589,$A38,Fiches!$B$2:$B$589,"Orange – incertain")</f>
        <v/>
      </c>
      <c r="D38" s="28">
        <f>COUNTIFS(Fiches!$D$2:$D$589,$A38,Fiches!$B$2:$B$589,"Rouge – hors programme")</f>
        <v/>
      </c>
      <c r="E38" s="25">
        <f>SUM(B38:D38)</f>
        <v/>
      </c>
    </row>
    <row r="39">
      <c r="A39" s="21" t="inlineStr">
        <is>
          <t>BCPST2 · Algèbre linéaire 1 – Espaces vectoriels</t>
        </is>
      </c>
      <c r="B39" s="26">
        <f>COUNTIFS(Fiches!$D$2:$D$589,$A39,Fiches!$B$2:$B$589,"Noir – conforme")</f>
        <v/>
      </c>
      <c r="C39" s="27">
        <f>COUNTIFS(Fiches!$D$2:$D$589,$A39,Fiches!$B$2:$B$589,"Orange – incertain")</f>
        <v/>
      </c>
      <c r="D39" s="28">
        <f>COUNTIFS(Fiches!$D$2:$D$589,$A39,Fiches!$B$2:$B$589,"Rouge – hors programme")</f>
        <v/>
      </c>
      <c r="E39" s="25">
        <f>SUM(B39:D39)</f>
        <v/>
      </c>
    </row>
    <row r="40">
      <c r="A40" s="21" t="inlineStr">
        <is>
          <t>BCPST2 · Algèbre linéaire 2 – Applications linéaires et matrices</t>
        </is>
      </c>
      <c r="B40" s="26">
        <f>COUNTIFS(Fiches!$D$2:$D$589,$A40,Fiches!$B$2:$B$589,"Noir – conforme")</f>
        <v/>
      </c>
      <c r="C40" s="27">
        <f>COUNTIFS(Fiches!$D$2:$D$589,$A40,Fiches!$B$2:$B$589,"Orange – incertain")</f>
        <v/>
      </c>
      <c r="D40" s="28">
        <f>COUNTIFS(Fiches!$D$2:$D$589,$A40,Fiches!$B$2:$B$589,"Rouge – hors programme")</f>
        <v/>
      </c>
      <c r="E40" s="25">
        <f>SUM(B40:D40)</f>
        <v/>
      </c>
    </row>
    <row r="41">
      <c r="A41" s="21" t="inlineStr">
        <is>
          <t>BCPST2 · Algèbre linéaire 3 – Valeurs propres</t>
        </is>
      </c>
      <c r="B41" s="26">
        <f>COUNTIFS(Fiches!$D$2:$D$589,$A41,Fiches!$B$2:$B$589,"Noir – conforme")</f>
        <v/>
      </c>
      <c r="C41" s="27">
        <f>COUNTIFS(Fiches!$D$2:$D$589,$A41,Fiches!$B$2:$B$589,"Orange – incertain")</f>
        <v/>
      </c>
      <c r="D41" s="28">
        <f>COUNTIFS(Fiches!$D$2:$D$589,$A41,Fiches!$B$2:$B$589,"Rouge – hors programme")</f>
        <v/>
      </c>
      <c r="E41" s="25">
        <f>SUM(B41:D41)</f>
        <v/>
      </c>
    </row>
    <row r="42">
      <c r="A42" s="21" t="inlineStr">
        <is>
          <t>BCPST2 · Géométrie – Produit scalaire dans Rⁿ</t>
        </is>
      </c>
      <c r="B42" s="26">
        <f>COUNTIFS(Fiches!$D$2:$D$589,$A42,Fiches!$B$2:$B$589,"Noir – conforme")</f>
        <v/>
      </c>
      <c r="C42" s="27">
        <f>COUNTIFS(Fiches!$D$2:$D$589,$A42,Fiches!$B$2:$B$589,"Orange – incertain")</f>
        <v/>
      </c>
      <c r="D42" s="28">
        <f>COUNTIFS(Fiches!$D$2:$D$589,$A42,Fiches!$B$2:$B$589,"Rouge – hors programme")</f>
        <v/>
      </c>
      <c r="E42" s="25">
        <f>SUM(B42:D42)</f>
        <v/>
      </c>
    </row>
    <row r="43">
      <c r="A43" s="21" t="inlineStr">
        <is>
          <t>BCPST2 · Probabilités 1 – Concepts de base</t>
        </is>
      </c>
      <c r="B43" s="26">
        <f>COUNTIFS(Fiches!$D$2:$D$589,$A43,Fiches!$B$2:$B$589,"Noir – conforme")</f>
        <v/>
      </c>
      <c r="C43" s="27">
        <f>COUNTIFS(Fiches!$D$2:$D$589,$A43,Fiches!$B$2:$B$589,"Orange – incertain")</f>
        <v/>
      </c>
      <c r="D43" s="28">
        <f>COUNTIFS(Fiches!$D$2:$D$589,$A43,Fiches!$B$2:$B$589,"Rouge – hors programme")</f>
        <v/>
      </c>
      <c r="E43" s="25">
        <f>SUM(B43:D43)</f>
        <v/>
      </c>
    </row>
    <row r="44">
      <c r="A44" s="21" t="inlineStr">
        <is>
          <t>BCPST2 · Probabilités 2 – Variables discrètes</t>
        </is>
      </c>
      <c r="B44" s="26">
        <f>COUNTIFS(Fiches!$D$2:$D$589,$A44,Fiches!$B$2:$B$589,"Noir – conforme")</f>
        <v/>
      </c>
      <c r="C44" s="27">
        <f>COUNTIFS(Fiches!$D$2:$D$589,$A44,Fiches!$B$2:$B$589,"Orange – incertain")</f>
        <v/>
      </c>
      <c r="D44" s="28">
        <f>COUNTIFS(Fiches!$D$2:$D$589,$A44,Fiches!$B$2:$B$589,"Rouge – hors programme")</f>
        <v/>
      </c>
      <c r="E44" s="25">
        <f>SUM(B44:D44)</f>
        <v/>
      </c>
    </row>
    <row r="45">
      <c r="A45" s="21" t="inlineStr">
        <is>
          <t>BCPST2 · Probabilités 3 – Couples discrets</t>
        </is>
      </c>
      <c r="B45" s="26">
        <f>COUNTIFS(Fiches!$D$2:$D$589,$A45,Fiches!$B$2:$B$589,"Noir – conforme")</f>
        <v/>
      </c>
      <c r="C45" s="27">
        <f>COUNTIFS(Fiches!$D$2:$D$589,$A45,Fiches!$B$2:$B$589,"Orange – incertain")</f>
        <v/>
      </c>
      <c r="D45" s="28">
        <f>COUNTIFS(Fiches!$D$2:$D$589,$A45,Fiches!$B$2:$B$589,"Rouge – hors programme")</f>
        <v/>
      </c>
      <c r="E45" s="25">
        <f>SUM(B45:D45)</f>
        <v/>
      </c>
    </row>
    <row r="46">
      <c r="A46" s="21" t="inlineStr">
        <is>
          <t>BCPST2 · Probabilités 4 – Variables à densité</t>
        </is>
      </c>
      <c r="B46" s="26">
        <f>COUNTIFS(Fiches!$D$2:$D$589,$A46,Fiches!$B$2:$B$589,"Noir – conforme")</f>
        <v/>
      </c>
      <c r="C46" s="27">
        <f>COUNTIFS(Fiches!$D$2:$D$589,$A46,Fiches!$B$2:$B$589,"Orange – incertain")</f>
        <v/>
      </c>
      <c r="D46" s="28">
        <f>COUNTIFS(Fiches!$D$2:$D$589,$A46,Fiches!$B$2:$B$589,"Rouge – hors programme")</f>
        <v/>
      </c>
      <c r="E46" s="25">
        <f>SUM(B46:D46)</f>
        <v/>
      </c>
    </row>
    <row r="47">
      <c r="A47" s="21" t="inlineStr">
        <is>
          <t>BCPST2 · Probabilités 5 – Théorèmes limites</t>
        </is>
      </c>
      <c r="B47" s="26">
        <f>COUNTIFS(Fiches!$D$2:$D$589,$A47,Fiches!$B$2:$B$589,"Noir – conforme")</f>
        <v/>
      </c>
      <c r="C47" s="27">
        <f>COUNTIFS(Fiches!$D$2:$D$589,$A47,Fiches!$B$2:$B$589,"Orange – incertain")</f>
        <v/>
      </c>
      <c r="D47" s="28">
        <f>COUNTIFS(Fiches!$D$2:$D$589,$A47,Fiches!$B$2:$B$589,"Rouge – hors programme")</f>
        <v/>
      </c>
      <c r="E47" s="25">
        <f>SUM(B47:D47)</f>
        <v/>
      </c>
    </row>
    <row r="48">
      <c r="A48" s="21" t="inlineStr">
        <is>
          <t>Hors des chapitres du programme</t>
        </is>
      </c>
      <c r="B48" s="26">
        <f>COUNTIFS(Fiches!$D$2:$D$589,$A48,Fiches!$B$2:$B$589,"Noir – conforme")</f>
        <v/>
      </c>
      <c r="C48" s="27">
        <f>COUNTIFS(Fiches!$D$2:$D$589,$A48,Fiches!$B$2:$B$589,"Orange – incertain")</f>
        <v/>
      </c>
      <c r="D48" s="28">
        <f>COUNTIFS(Fiches!$D$2:$D$589,$A48,Fiches!$B$2:$B$589,"Rouge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2026-10-23T19:57:15Z</dcterms:modified>
</cp:coreProperties>
</file>