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6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 On a $A=B\iff(A\subset B\text{ et }B\subset A)$ : on montre une égalité d'ensembles par double inclusion.</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le plus grand entier inférieur ou égal à $x$ : l'unique entier tel que $\lfloor x\rfloor\le x&lt;\lfloor x\rfloor+1$, soit $x-1&lt;\lfloor x\rfloor\le x$. Ex. : $\lfloor\sqrt2\rfloor=1$, $\lfloor-3{,}1\rfloor=-4$.</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Coefficients binomiaux – Propriétés</t>
        </is>
      </c>
      <c r="G40" s="9" t="inlineStr">
        <is>
          <t>Soient $n\in\mathbb N$ et $p\in\mathbb Z$.</t>
        </is>
      </c>
      <c r="H40" s="10" t="inlineStr">
        <is>
          <t>Donner la propriété de symétrie, la formule de Pascal et la formule « sans factorielle » $k\binom nk$.</t>
        </is>
      </c>
      <c r="I40" s="9" t="inlineStr">
        <is>
          <t>Symétrie : $\binom{n}{p}=\binom{n}{n-p}$. Formule de Pascal : $\binom{n}{p}+\binom{n}{p+1}=\binom{n+1}{p+1}$. Pour $k\ge1$ : $\binom nk=\dfrac nk\binom{n-1}{k-1}$, soit $k\binom nk=n\binom{n-1}{k-1}$.</t>
        </is>
      </c>
      <c r="J40" s="9" t="inlineStr">
        <is>
          <t>Programme Outils 5 : « On met en valeur les formules : $\binom nk=\binom n{n-k}$, $\binom nk=\frac nk\binom{n-1}{k-1}$, $\binom n{k-1}+\binom nk=\binom{n+1}k$.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 Si elle existe, la limite est unique.</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 Les fonctions usuelles sont continues sur leur ensemble de définition.</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En particulier, si $f(a)f(b)\le0$, $f$ s'annule sur $[a,b]$.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si $F$ en est une, les primitives de $f$ sont les $F+k$, $k\in\mathbb R$. Pour $x_0\in I$ et $y_0\in\mathbb R$, il existe une unique primitive valant $y_0$ en $x_0$.</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t>
        </is>
      </c>
      <c r="G236" s="9" t="inlineStr">
        <is>
          <t>Soit $f$ continue sur $[a,b]$, $a&lt;b$.</t>
        </is>
      </c>
      <c r="H236" s="10" t="inlineStr">
        <is>
          <t>Énoncer le résultat sur les sommes de Riemann.</t>
        </is>
      </c>
      <c r="I236" s="9" t="inlineStr">
        <is>
          <t>Si $f$ est continue sur $[a,b]$ : $\displaystyle\int_a^bf(t)\,dt=\lim_{n\to\infty}\frac{b-a}n\sum_{k=0}^{n-1}f\!\left(a+k\frac{b-a}n\right)=\lim_{n\to\infty}\frac{b-a}n\sum_{k=1}^{n}f\!\left(a+k\frac{b-a}n\right)$. Sur $[0,1]$ : $\int_0^1f=\lim\frac1n\sum_{k=0}^{n-1}f\!\left(\frac kn\right)$.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 (avec $Q_n$ écrit en puissances de $y-f(a)$). En pratique en $0$ : on compose $g(u)$ avec $u=f(x)$ qui doit tendre vers $0$ (sinon on se ramène en $0$, par exemple $e^{a+h}=e^ae^h$).</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$P(B)=\sum_{i=1}^nP(B\cap A_i)=\sum_{i=1}^nP(A_i)P_{A_i}(B)$ (on convient que $P(A_i)P_{A_i}(B)=0$ si $P(A_i)=0$). Cas particulier : $P(B)=P(A)P_A(B)+P(\bar A)P_{\bar A}(B)$.</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$P_B(A_j)=\dfrac{P_{A_j}(B)P(A_j)}{\sum_iP_{A_i}(B)P(A_i)}$. Version à deux événements ($P(A),P(B)\neq0$) : $P_B(A)=\dfrac{P_A(B)P(A)}{P(B)}$.</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(de façon équivalente, $f$ conserve les combinaisons linéaires : $f(\alpha x+\beta y)=\alpha f(x)+\beta f(y)$). Alors $f(0_E)=0_F$.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 Si $(e_1,\dots,e_p)$ est une base de $E$ : $\mathrm{Im}f=\mathrm{Vect}(f(e_1),\dots,f(e_p))$, donc $\mathrm{rg}f=\mathrm{rg}(f(e_1),\dots,f(e_p))=\mathrm{rg}(\mathrm{Mat}f)$ (dans n'importe quelles bases).</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d'où $\mathrm{Mat}(f^k)=(\mathrm{Mat}f)^k$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$|x|=0\iff x=0$ ; $|x|=|y|\iff x=\pm y$ ; $\sqrt{x^2}=|x|$ ; $|xy|=|x||y|$ ; $|x+y|\le|x|+|y|$ (inégalité triangulaire).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row r="562">
      <c r="A562" s="9" t="inlineStr">
        <is>
          <t>M562</t>
        </is>
      </c>
      <c r="B562" s="10" t="inlineStr">
        <is>
          <t>Noir – conforme</t>
        </is>
      </c>
      <c r="C562" s="9" t="inlineStr">
        <is>
          <t>BCPST1</t>
        </is>
      </c>
      <c r="D562" s="9" t="inlineStr">
        <is>
          <t>BCPST1 · Analyse 10 – Fonctions de deux variables</t>
        </is>
      </c>
      <c r="E562" s="9" t="inlineStr">
        <is>
          <t>Définition</t>
        </is>
      </c>
      <c r="F562" s="9" t="inlineStr">
        <is>
          <t>Surface représentative, sections et lignes de niveau</t>
        </is>
      </c>
      <c r="G562" s="9" t="inlineStr">
        <is>
          <t>Soit $f$ une fonction de deux variables définie sur $D\subset\mathbb R^2$ et $(x_0,y_0)\in D$.</t>
        </is>
      </c>
      <c r="H562" s="10" t="inlineStr">
        <is>
          <t>Qu'est-ce que la surface représentative de $f$ ? À quoi correspondent graphiquement les fonctions partielles en $(x_0,y_0)$ et les lignes de niveau ?</t>
        </is>
      </c>
      <c r="I562" s="9" t="inlineStr">
        <is>
          <t>Surface : ensemble des points $(x,y,f(x,y))$ de $\mathbb R^3$, $(x,y)\in D$. La fonction partielle $x\mapsto f(x,y_0)$ décrit la section de la surface par le plan $y=y_0$ (et $\frac{\partial f}{\partial x}(x_0,y_0)$ est la pente de sa tangente) ; de même $y\mapsto f(x_0,y)$ et le plan $x=x_0$. La ligne de niveau $k$ est $\{(x,y)\in D,\ f(x,y)=k\}$ (comme les courbes de niveau d'une carte).</t>
        </is>
      </c>
      <c r="J562" s="9" t="inlineStr">
        <is>
          <t>Programme Analyse 10 : « Surface représentative d'une fonction de deux variables, courbes ou lignes de niveau. On souligne le lien entre fonctions partielles et certaines sections de cette surface. »</t>
        </is>
      </c>
      <c r="K562" s="9" t="n"/>
      <c r="L562" s="9" t="inlineStr">
        <is>
          <t>Ajout d’après le cours « Fonctions de plusieurs variables »</t>
        </is>
      </c>
      <c r="M562" s="11" t="n"/>
      <c r="N562" s="11" t="n"/>
    </row>
    <row r="563">
      <c r="A563" s="9" t="inlineStr">
        <is>
          <t>M563</t>
        </is>
      </c>
      <c r="B563" s="10" t="inlineStr">
        <is>
          <t>Noir – conforme</t>
        </is>
      </c>
      <c r="C563" s="9" t="inlineStr">
        <is>
          <t>BCPST1</t>
        </is>
      </c>
      <c r="D563" s="9" t="inlineStr">
        <is>
          <t>BCPST1 · Analyse 10 – Fonctions de deux variables</t>
        </is>
      </c>
      <c r="E563" s="9" t="inlineStr">
        <is>
          <t>Propriété</t>
        </is>
      </c>
      <c r="F563" s="9" t="inlineStr">
        <is>
          <t>Petites variations d’une fonction de deux variables</t>
        </is>
      </c>
      <c r="G563" s="9" t="inlineStr">
        <is>
          <t>Soient $f$ de classe $\mathcal C^1$ sur un pavé ouvert et $(x_0,y_0)$ un point de ce pavé.</t>
        </is>
      </c>
      <c r="H563" s="10" t="inlineStr">
        <is>
          <t>Comment évaluer la variation $\Delta f$ de $f$ due à de petites variations $\Delta x$, $\Delta y$ des variables ?</t>
        </is>
      </c>
      <c r="I563" s="9" t="inlineStr">
        <is>
          <t>$\Delta f=f(x_0+\Delta x,y_0+\Delta y)-f(x_0,y_0)\approx\dfrac{\partial f}{\partial x}(x_0,y_0)\,\Delta x+\dfrac{\partial f}{\partial y}(x_0,y_0)\,\Delta y=\overrightarrow{\mathrm{grad}}f(x_0,y_0)\cdot(\Delta x,\Delta y)$.</t>
        </is>
      </c>
      <c r="J563" s="9" t="inlineStr">
        <is>
          <t>Programme Analyse 10 : « Utilisation des dérivées partielles premières pour évaluer une petite variation de la valeur d'une fonction de classe $\mathcal C^1$ découlant de petites variations sur les variables. »</t>
        </is>
      </c>
      <c r="K563" s="9" t="n"/>
      <c r="L563" s="9" t="inlineStr">
        <is>
          <t>Ajout d’après le cours « Fonctions de plusieurs variables »</t>
        </is>
      </c>
      <c r="M563" s="11" t="n"/>
      <c r="N563" s="11" t="n"/>
    </row>
    <row r="564">
      <c r="A564" s="9" t="inlineStr">
        <is>
          <t>M564</t>
        </is>
      </c>
      <c r="B564" s="10" t="inlineStr">
        <is>
          <t>Noir – conforme</t>
        </is>
      </c>
      <c r="C564" s="9" t="inlineStr">
        <is>
          <t>BCPST1</t>
        </is>
      </c>
      <c r="D564" s="9" t="inlineStr">
        <is>
          <t>BCPST1 · Analyse 10 – Fonctions de deux variables</t>
        </is>
      </c>
      <c r="E564" s="9" t="inlineStr">
        <is>
          <t>Propriété</t>
        </is>
      </c>
      <c r="F564" s="9" t="inlineStr">
        <is>
          <t>Interprétation graphique du gradient</t>
        </is>
      </c>
      <c r="G564" s="9" t="inlineStr">
        <is>
          <t>Soient $f$ de classe $\mathcal C^1$ sur un pavé ouvert de $\mathbb R^2$ et $(x_0,y_0)$ un point où $\overrightarrow{\mathrm{grad}}f\neq\vec 0$.</t>
        </is>
      </c>
      <c r="H564" s="10" t="inlineStr">
        <is>
          <t>Que représente géométriquement $\overrightarrow{\mathrm{grad}}f(x_0,y_0)$ ?</t>
        </is>
      </c>
      <c r="I564" s="9" t="inlineStr">
        <is>
          <t>Il est orthogonal à la ligne de niveau de $f$ passant par $(x_0,y_0)$ et indique la direction dans laquelle $f$ croît le plus vite ; sa norme mesure la « pente ». Se déplacer orthogonalement au gradient, c'est suivre la ligne de niveau.</t>
        </is>
      </c>
      <c r="J564" s="9" t="inlineStr">
        <is>
          <t>Programme Analyse 10 : « On pourra donner sans démonstration l'interprétation graphique du gradient. »</t>
        </is>
      </c>
      <c r="K564" s="9" t="n"/>
      <c r="L564" s="9" t="inlineStr">
        <is>
          <t>Ajout d’après le cours « Fonctions de plusieurs variables »</t>
        </is>
      </c>
      <c r="M564" s="11" t="n"/>
      <c r="N564" s="11" t="n"/>
    </row>
    <row r="565">
      <c r="A565" s="9" t="inlineStr">
        <is>
          <t>M565</t>
        </is>
      </c>
      <c r="B565" s="10" t="inlineStr">
        <is>
          <t>Orange – incertain</t>
        </is>
      </c>
      <c r="C565" s="9" t="inlineStr">
        <is>
          <t>BCPST1</t>
        </is>
      </c>
      <c r="D565" s="9" t="inlineStr">
        <is>
          <t>BCPST1 · Analyse 10 – Fonctions de deux variables</t>
        </is>
      </c>
      <c r="E565" s="9" t="inlineStr">
        <is>
          <t>Définition</t>
        </is>
      </c>
      <c r="F565" s="9" t="inlineStr">
        <is>
          <t>Plan tangent à une surface</t>
        </is>
      </c>
      <c r="G565" s="9" t="inlineStr">
        <is>
          <t>Soient $f$ de classe $\mathcal C^1$ sur un pavé ouvert de $\mathbb R^2$ et $(x_0,y_0)$ un point de ce pavé.</t>
        </is>
      </c>
      <c r="H565" s="10" t="inlineStr">
        <is>
          <t>Donner l'équation du plan tangent à la surface $z=f(x,y)$ au point $(x_0,y_0,f(x_0,y_0))$, et deux vecteurs directeurs.</t>
        </is>
      </c>
      <c r="I565" s="9" t="inlineStr">
        <is>
          <t>$z=f(x_0,y_0)+(x-x_0)\dfrac{\partial f}{\partial x}(x_0,y_0)+(y-y_0)\dfrac{\partial f}{\partial y}(x_0,y_0)$ ; vecteurs directeurs $\left(1,0,\frac{\partial f}{\partial x}(x_0,y_0)\right)$ et $\left(0,1,\frac{\partial f}{\partial y}(x_0,y_0)\right)$.</t>
        </is>
      </c>
      <c r="J565" s="9" t="inlineStr">
        <is>
          <t>Cours ; le programme ne mentionne pas le plan tangent (seulement les petites variations).</t>
        </is>
      </c>
      <c r="K565" s="9" t="n"/>
      <c r="L565" s="9" t="inlineStr">
        <is>
          <t>Ajout d’après le cours « Fonctions de plusieurs variables »</t>
        </is>
      </c>
      <c r="M565" s="11" t="n"/>
      <c r="N565" s="11" t="n"/>
    </row>
    <row r="566">
      <c r="A566" s="9" t="inlineStr">
        <is>
          <t>M566</t>
        </is>
      </c>
      <c r="B566" s="10" t="inlineStr">
        <is>
          <t>Orange – incertain</t>
        </is>
      </c>
      <c r="C566" s="9" t="inlineStr">
        <is>
          <t>BCPST1</t>
        </is>
      </c>
      <c r="D566" s="9" t="inlineStr">
        <is>
          <t>BCPST1 · Analyse 10 – Fonctions de deux variables</t>
        </is>
      </c>
      <c r="E566" s="9" t="inlineStr">
        <is>
          <t>Propriété</t>
        </is>
      </c>
      <c r="F566" s="9" t="inlineStr">
        <is>
          <t>Opérations sur les fonctions de classe C¹ (deux variables)</t>
        </is>
      </c>
      <c r="G566" s="9" t="inlineStr">
        <is>
          <t>Soient $f$, $g$ des fonctions de deux variables sur un pavé ouvert $P$.</t>
        </is>
      </c>
      <c r="H566" s="10" t="inlineStr">
        <is>
          <t>Quelles opérations donnent des fonctions de classe $\mathcal C^1$ sur $P$ ?</t>
        </is>
      </c>
      <c r="I566" s="9" t="inlineStr">
        <is>
          <t>Les fonctions polynomiales en $(x,y)$ sont $\mathcal C^1$ ; si $f$ et $g$ sont $\mathcal C^1$ : combinaisons linéaires, produit, quotient $f/g$ (si $g$ ne s'annule pas sur $P$) ; si $\varphi$ est $\mathcal C^1$ sur un intervalle contenant $f(P)$, $\varphi\circ f$ est $\mathcal C^1$ (théorèmes admis).</t>
        </is>
      </c>
      <c r="J566" s="9" t="inlineStr">
        <is>
          <t>Cours (admis) ; le programme précise qu'on ne demandera jamais de montrer qu'une fonction est $\mathcal C^1$.</t>
        </is>
      </c>
      <c r="K566" s="9" t="n"/>
      <c r="L566" s="9" t="inlineStr">
        <is>
          <t>Ajout d’après le cours « Fonctions de plusieurs variables »</t>
        </is>
      </c>
      <c r="M566" s="11" t="n"/>
      <c r="N566" s="11" t="n"/>
    </row>
    <row r="567">
      <c r="A567" s="9" t="inlineStr">
        <is>
          <t>M567</t>
        </is>
      </c>
      <c r="B567" s="10" t="inlineStr">
        <is>
          <t>Noir – conforme</t>
        </is>
      </c>
      <c r="C567" s="9" t="inlineStr">
        <is>
          <t>BCPST1</t>
        </is>
      </c>
      <c r="D567" s="9" t="inlineStr">
        <is>
          <t>BCPST1 · Analyse 8 – Intégration sur un segment</t>
        </is>
      </c>
      <c r="E567" s="9" t="inlineStr">
        <is>
          <t>Définition</t>
        </is>
      </c>
      <c r="F567" s="9" t="inlineStr">
        <is>
          <t>Valeur moyenne et encadrement d’une intégrale</t>
        </is>
      </c>
      <c r="G567" s="9" t="inlineStr">
        <is>
          <t>Soient $a&lt;b$ et $f$ continue sur $[a,b]$.</t>
        </is>
      </c>
      <c r="H567" s="10" t="inlineStr">
        <is>
          <t>Définir la valeur moyenne de $f$ sur $[a,b]$. Comment encadrer $\int_a^bf$ si $m\le f\le M$ sur $[a,b]$ ?</t>
        </is>
      </c>
      <c r="I567" s="9" t="inlineStr">
        <is>
          <t>$\mu=\dfrac1{b-a}\displaystyle\int_a^bf(t)\,dt$ ; c'est une valeur atteinte par $f$ sur $[a,b]$. Si $m\le f\le M$ : $m(b-a)\le\displaystyle\int_a^bf(t)\,dt\le M(b-a)$, donc $m\le\mu\le M$.</t>
        </is>
      </c>
      <c r="J567" s="9" t="inlineStr">
        <is>
          <t>Programme Analyse 8 : « Encadrement de l'intégrale à partir d'un encadrement de la fonction » ; « Valeur moyenne d'une fonction continue sur un segment. La valeur moyenne appartient à l'ensemble des valeurs atteintes par la fonction. »</t>
        </is>
      </c>
      <c r="K567" s="9" t="n"/>
      <c r="L567" s="9" t="inlineStr">
        <is>
          <t>Ajout d’après le cours « Intégration »</t>
        </is>
      </c>
      <c r="M567" s="11" t="n"/>
      <c r="N567" s="11" t="n"/>
    </row>
    <row r="568">
      <c r="A568" s="9" t="inlineStr">
        <is>
          <t>M568</t>
        </is>
      </c>
      <c r="B568" s="10" t="inlineStr">
        <is>
          <t>Orange – incertain</t>
        </is>
      </c>
      <c r="C568" s="9" t="inlineStr">
        <is>
          <t>BCPST1</t>
        </is>
      </c>
      <c r="D568" s="9" t="inlineStr">
        <is>
          <t>BCPST1 · Analyse 8 – Intégration sur un segment</t>
        </is>
      </c>
      <c r="E568" s="9" t="inlineStr">
        <is>
          <t>Théorème</t>
        </is>
      </c>
      <c r="F568" s="9" t="inlineStr">
        <is>
          <t>Aire entre deux courbes</t>
        </is>
      </c>
      <c r="G568" s="9" t="inlineStr">
        <is>
          <t>Soient $a&lt;b$, $f$ et $g$ continues sur $[a,b]$ avec $f\le g$.</t>
        </is>
      </c>
      <c r="H568" s="10" t="inlineStr">
        <is>
          <t>Quelle est l'aire (en u.a.) du domaine compris entre $\mathcal C_f$, $\mathcal C_g$ et les droites $x=a$, $x=b$ ?</t>
        </is>
      </c>
      <c r="I568" s="9" t="inlineStr">
        <is>
          <t>$\mathcal A=\displaystyle\int_a^b\big(g(x)-f(x)\big)\,dx$ u.a. (l'unité d'aire est $\|\vec\imath\|\times\|\vec\jmath\|$).</t>
        </is>
      </c>
      <c r="J568" s="9" t="inlineStr">
        <is>
          <t>Cours ; le programme définit l'intégrale comme une aire « intuitive » sans citer l'aire entre deux courbes.</t>
        </is>
      </c>
      <c r="K568" s="9" t="n"/>
      <c r="L568" s="9" t="inlineStr">
        <is>
          <t>Ajout d’après le cours « Intégration »</t>
        </is>
      </c>
      <c r="M568" s="11" t="n"/>
      <c r="N568" s="11" t="n"/>
    </row>
    <row r="569">
      <c r="A569" s="9" t="inlineStr">
        <is>
          <t>M569</t>
        </is>
      </c>
      <c r="B569" s="10" t="inlineStr">
        <is>
          <t>Orange – incertain</t>
        </is>
      </c>
      <c r="C569" s="9" t="inlineStr">
        <is>
          <t>BCPST1</t>
        </is>
      </c>
      <c r="D569" s="9" t="inlineStr">
        <is>
          <t>BCPST1 · Analyse 8 – Intégration sur un segment</t>
        </is>
      </c>
      <c r="E569" s="9" t="inlineStr">
        <is>
          <t>Propriété</t>
        </is>
      </c>
      <c r="F569" s="9" t="inlineStr">
        <is>
          <t>Intégrale d’une fonction paire, impaire, périodique</t>
        </is>
      </c>
      <c r="G569" s="9" t="inlineStr">
        <is>
          <t>Soient $a&gt;0$ et $f$ continue (sur $[-a,a]$, ou sur $\mathbb R$ et $T$-périodique).</t>
        </is>
      </c>
      <c r="H569" s="10" t="inlineStr">
        <is>
          <t>Que vaut $\int_{-a}^af$ si $f$ est paire ? impaire ? Que dire des intégrales d'une fonction $T$-périodique sur une période ?</t>
        </is>
      </c>
      <c r="I569" s="9" t="inlineStr">
        <is>
          <t>Paire : $\int_{-a}^af=2\int_0^af$. Impaire : $\int_{-a}^af=0$. $T$-périodique : $\int_{a+nT}^{b+nT}f=\int_a^bf$ ($n\in\mathbb Z$) et $\int_a^{a+T}f=\int_0^Tf$ pour tout $a$. (Conséquences du changement de variable.)</t>
        </is>
      </c>
      <c r="J569" s="9" t="inlineStr">
        <is>
          <t>Corollaires du cours ; non cités par le programme.</t>
        </is>
      </c>
      <c r="K569" s="9" t="n"/>
      <c r="L569" s="9" t="inlineStr">
        <is>
          <t>Ajout d’après le cours « Intégration »</t>
        </is>
      </c>
      <c r="M569" s="11" t="n"/>
      <c r="N569" s="11" t="n"/>
    </row>
    <row r="570">
      <c r="A570" s="9" t="inlineStr">
        <is>
          <t>M570</t>
        </is>
      </c>
      <c r="B570" s="10" t="inlineStr">
        <is>
          <t>Noir – conforme</t>
        </is>
      </c>
      <c r="C570" s="9" t="inlineStr">
        <is>
          <t>BCPST1</t>
        </is>
      </c>
      <c r="D570" s="9" t="inlineStr">
        <is>
          <t>BCPST1 · Outils 1 – Logique, ensembles</t>
        </is>
      </c>
      <c r="E570" s="9" t="inlineStr">
        <is>
          <t>Propriété</t>
        </is>
      </c>
      <c r="F570" s="9" t="inlineStr">
        <is>
          <t>Négation de « et » et de « ou »</t>
        </is>
      </c>
      <c r="G570" s="9" t="inlineStr">
        <is>
          <t>Soient $P$ et $Q$ deux assertions.</t>
        </is>
      </c>
      <c r="H570" s="10" t="inlineStr">
        <is>
          <t>Écrire $\mathrm{non}(P\text{ et }Q)$ et $\mathrm{non}(P\text{ ou }Q)$. Le « ou » mathématique est-il inclusif ou exclusif ?</t>
        </is>
      </c>
      <c r="I570" s="9" t="inlineStr">
        <is>
          <t>$\mathrm{non}(P\text{ et }Q)\iff(\mathrm{non}\,P)\text{ ou }(\mathrm{non}\,Q)$ ; $\mathrm{non}(P\text{ ou }Q)\iff(\mathrm{non}\,P)\text{ et }(\mathrm{non}\,Q)$. Le « ou » mathématique est inclusif : $P\text{ ou }Q$ est vraie dès qu'au moins l'une des deux l'est (éventuellement les deux).</t>
        </is>
      </c>
      <c r="J570" s="9" t="inlineStr">
        <is>
          <t>Programme Outils 1 : « Assertion, négation, « et », « ou » » ; « Négation d'un « et » et d'un « ou ». »</t>
        </is>
      </c>
      <c r="K570" s="9" t="n"/>
      <c r="L570" s="9" t="inlineStr">
        <is>
          <t>Ajout d’après le cours « Logique et raisonnements »</t>
        </is>
      </c>
      <c r="M570" s="11" t="n"/>
      <c r="N570" s="11" t="n"/>
    </row>
    <row r="571">
      <c r="A571" s="9" t="inlineStr">
        <is>
          <t>M571</t>
        </is>
      </c>
      <c r="B571" s="10" t="inlineStr">
        <is>
          <t>Noir – conforme</t>
        </is>
      </c>
      <c r="C571" s="9" t="inlineStr">
        <is>
          <t>BCPST1</t>
        </is>
      </c>
      <c r="D571" s="9" t="inlineStr">
        <is>
          <t>BCPST1 · Outils 1 – Logique, ensembles</t>
        </is>
      </c>
      <c r="E571" s="9" t="inlineStr">
        <is>
          <t>Propriété</t>
        </is>
      </c>
      <c r="F571" s="9" t="inlineStr">
        <is>
          <t>Distributivité de « et » et « ou »</t>
        </is>
      </c>
      <c r="G571" s="9" t="inlineStr">
        <is>
          <t>Soient $A$, $B$, $C$ trois assertions.</t>
        </is>
      </c>
      <c r="H571" s="10" t="inlineStr">
        <is>
          <t>Développer $A\text{ ou }(B\text{ et }C)$ et $A\text{ et }(B\text{ ou }C)$.</t>
        </is>
      </c>
      <c r="I571" s="9" t="inlineStr">
        <is>
          <t>$A\text{ ou }(B\text{ et }C)\iff(A\text{ ou }B)\text{ et }(A\text{ ou }C)$ ; $A\text{ et }(B\text{ ou }C)\iff(A\text{ et }B)\text{ ou }(A\text{ et }C)$.</t>
        </is>
      </c>
      <c r="J571" s="9" t="inlineStr">
        <is>
          <t>Programme Outils 1 : « Distributivité du « ou » sur le « et » et du « et » sur le « ou ». »</t>
        </is>
      </c>
      <c r="K571" s="9" t="n"/>
      <c r="L571" s="9" t="inlineStr">
        <is>
          <t>Ajout d’après le cours « Logique et raisonnements »</t>
        </is>
      </c>
      <c r="M571" s="11" t="n"/>
      <c r="N571" s="11" t="n"/>
    </row>
    <row r="572">
      <c r="A572" s="9" t="inlineStr">
        <is>
          <t>M572</t>
        </is>
      </c>
      <c r="B572" s="10" t="inlineStr">
        <is>
          <t>Noir – conforme</t>
        </is>
      </c>
      <c r="C572" s="9" t="inlineStr">
        <is>
          <t>BCPST1</t>
        </is>
      </c>
      <c r="D572" s="9" t="inlineStr">
        <is>
          <t>BCPST1 · Outils 1 – Logique, ensembles</t>
        </is>
      </c>
      <c r="E572" s="9" t="inlineStr">
        <is>
          <t>Définition</t>
        </is>
      </c>
      <c r="F572" s="9" t="inlineStr">
        <is>
          <t>Implication et sa négation</t>
        </is>
      </c>
      <c r="G572" s="9" t="inlineStr">
        <is>
          <t>Soient $P$ et $Q$ deux assertions.</t>
        </is>
      </c>
      <c r="H572" s="10" t="inlineStr">
        <is>
          <t>Que signifie $P\Rightarrow Q$ ? Quelle est sa négation ?</t>
        </is>
      </c>
      <c r="I572" s="9" t="inlineStr">
        <is>
          <t>$P\Rightarrow Q$ est l'assertion « $Q$ ou $\mathrm{non}\,P$ » : si $P$ est vraie, $Q$ l'est (et si $P$ est fausse, l'implication est vraie). Négation : $P\text{ et }\mathrm{non}\,Q$ ; ce n'est pas une implication.</t>
        </is>
      </c>
      <c r="J572" s="9" t="inlineStr">
        <is>
          <t>Programme Outils 1 : « implication ».</t>
        </is>
      </c>
      <c r="K572" s="9" t="n"/>
      <c r="L572" s="9" t="inlineStr">
        <is>
          <t>Ajout d’après le cours « Logique et raisonnements »</t>
        </is>
      </c>
      <c r="M572" s="11" t="n"/>
      <c r="N572" s="11" t="n"/>
    </row>
    <row r="573">
      <c r="A573" s="9" t="inlineStr">
        <is>
          <t>M573</t>
        </is>
      </c>
      <c r="B573" s="10" t="inlineStr">
        <is>
          <t>Noir – conforme</t>
        </is>
      </c>
      <c r="C573" s="9" t="inlineStr">
        <is>
          <t>BCPST1</t>
        </is>
      </c>
      <c r="D573" s="9" t="inlineStr">
        <is>
          <t>BCPST1 · Outils 1 – Logique, ensembles</t>
        </is>
      </c>
      <c r="E573" s="9" t="inlineStr">
        <is>
          <t>Définition</t>
        </is>
      </c>
      <c r="F573" s="9" t="inlineStr">
        <is>
          <t>Réciproque, contraposée, équivalence</t>
        </is>
      </c>
      <c r="G573" s="9" t="inlineStr">
        <is>
          <t>Soient $P$ et $Q$ deux assertions.</t>
        </is>
      </c>
      <c r="H573" s="10" t="inlineStr">
        <is>
          <t>Donner la réciproque et la contraposée de $P\Rightarrow Q$. Laquelle lui est équivalente ? Que signifie $P\iff Q$ ?</t>
        </is>
      </c>
      <c r="I573" s="9" t="inlineStr">
        <is>
          <t>Réciproque : $Q\Rightarrow P$ (pas équivalente en général). Contraposée : $\mathrm{non}\,Q\Rightarrow\mathrm{non}\,P$, équivalente à $P\Rightarrow Q$ (principe de contraposition). $P\iff Q$ signifie $(P\Rightarrow Q)\text{ et }(Q\Rightarrow P)$ ; on la prouve par équivalences successives ou par double implication.</t>
        </is>
      </c>
      <c r="J573" s="9" t="inlineStr">
        <is>
          <t>Programme Outils 1 : « implication, équivalence » ; « Le principe de contraposition est rappelé. »</t>
        </is>
      </c>
      <c r="K573" s="9" t="n"/>
      <c r="L573" s="9" t="inlineStr">
        <is>
          <t>Ajout d’après le cours « Logique et raisonnements »</t>
        </is>
      </c>
      <c r="M573" s="11" t="n"/>
      <c r="N573" s="11" t="n"/>
    </row>
    <row r="574">
      <c r="A574" s="9" t="inlineStr">
        <is>
          <t>M574</t>
        </is>
      </c>
      <c r="B574" s="10" t="inlineStr">
        <is>
          <t>Orange – incertain</t>
        </is>
      </c>
      <c r="C574" s="9" t="inlineStr">
        <is>
          <t>BCPST1</t>
        </is>
      </c>
      <c r="D574" s="9" t="inlineStr">
        <is>
          <t>BCPST1 · Outils 1 – Logique, ensembles</t>
        </is>
      </c>
      <c r="E574" s="9" t="inlineStr">
        <is>
          <t>Définition</t>
        </is>
      </c>
      <c r="F574" s="9" t="inlineStr">
        <is>
          <t>Condition nécessaire, condition suffisante</t>
        </is>
      </c>
      <c r="G574" s="9" t="inlineStr">
        <is>
          <t>Soient $C$ une condition et $R$ un résultat.</t>
        </is>
      </c>
      <c r="H574" s="10" t="inlineStr">
        <is>
          <t>Que signifient « $C$ est une condition suffisante pour $R$ » ? « nécessaire » ? « nécessaire et suffisante » ?</t>
        </is>
      </c>
      <c r="I574" s="9" t="inlineStr">
        <is>
          <t>Suffisante : $C\Rightarrow R$. Nécessaire : $R\Rightarrow C$ (« pour avoir $R$, il faut $C$ »). Nécessaire et suffisante : $R\iff C$. Exemple : $x=-1$ est suffisante pour $x^2=1$, mais pas nécessaire.</t>
        </is>
      </c>
      <c r="J574" s="9" t="inlineStr">
        <is>
          <t>Cours ; vocabulaire non cité par le programme.</t>
        </is>
      </c>
      <c r="K574" s="9" t="n"/>
      <c r="L574" s="9" t="inlineStr">
        <is>
          <t>Ajout d’après le cours « Logique et raisonnements »</t>
        </is>
      </c>
      <c r="M574" s="11" t="n"/>
      <c r="N574" s="11" t="n"/>
    </row>
    <row r="575">
      <c r="A575" s="9" t="inlineStr">
        <is>
          <t>M575</t>
        </is>
      </c>
      <c r="B575" s="10" t="inlineStr">
        <is>
          <t>Noir – conforme</t>
        </is>
      </c>
      <c r="C575" s="9" t="inlineStr">
        <is>
          <t>BCPST1</t>
        </is>
      </c>
      <c r="D575" s="9" t="inlineStr">
        <is>
          <t>BCPST1 · Outils 1 – Logique, ensembles</t>
        </is>
      </c>
      <c r="E575" s="9" t="inlineStr">
        <is>
          <t>Définition</t>
        </is>
      </c>
      <c r="F575" s="9" t="inlineStr">
        <is>
          <t>Quantificateurs et négation</t>
        </is>
      </c>
      <c r="G575" s="9" t="inlineStr">
        <is>
          <t>Soient $E$ un ensemble et $P(x)$ une assertion dépendant de $x\in E$.</t>
        </is>
      </c>
      <c r="H575" s="10" t="inlineStr">
        <is>
          <t>Que signifient $\forall$, $\exists$, $\exists!$ ? Écrire la négation de $\forall x\in E,\ P(x)$ et de $\exists x\in E,\ P(x)$. L'ordre des quantificateurs compte-t-il ?</t>
        </is>
      </c>
      <c r="I575" s="9" t="inlineStr">
        <is>
          <t>$\forall$ : pour tout ; $\exists$ : il existe au moins un ; $\exists!$ : il existe un unique. $\mathrm{non}(\forall x\in E,\ P(x))\iff\exists x\in E,\ \mathrm{non}\,P(x)$ ; $\mathrm{non}(\exists x\in E,\ P(x))\iff\forall x\in E,\ \mathrm{non}\,P(x)$ : on échange les quantificateurs et on nie l'assertion finale. Oui : $\forall x,\exists y$ et $\exists y,\forall x$ n'ont pas le même sens.</t>
        </is>
      </c>
      <c r="J575" s="9" t="inlineStr">
        <is>
          <t>Programme Outils 1 : « Quantificateurs universel et existentiel. Négation d'une assertion quantifiée. »</t>
        </is>
      </c>
      <c r="K575" s="9" t="n"/>
      <c r="L575" s="9" t="inlineStr">
        <is>
          <t>Ajout d’après le cours « Logique et raisonnements »</t>
        </is>
      </c>
      <c r="M575" s="11" t="n"/>
      <c r="N575" s="11" t="n"/>
    </row>
    <row r="576">
      <c r="A576" s="9" t="inlineStr">
        <is>
          <t>M576</t>
        </is>
      </c>
      <c r="B576" s="10" t="inlineStr">
        <is>
          <t>Orange – incertain</t>
        </is>
      </c>
      <c r="C576" s="9" t="inlineStr">
        <is>
          <t>BCPST1</t>
        </is>
      </c>
      <c r="D576" s="9" t="inlineStr">
        <is>
          <t>BCPST1 · Outils 1 – Logique, ensembles</t>
        </is>
      </c>
      <c r="E576" s="9" t="inlineStr">
        <is>
          <t>Méthode</t>
        </is>
      </c>
      <c r="F576" s="9" t="inlineStr">
        <is>
          <t>Raisonnement par l’absurde ou par contraposée</t>
        </is>
      </c>
      <c r="G576" s="9" t="inlineStr">
        <is>
          <t>On veut prouver $P\Rightarrow Q$.</t>
        </is>
      </c>
      <c r="H576" s="10" t="inlineStr">
        <is>
          <t>Décrire le raisonnement par contraposée et le raisonnement par l'absurde. En quoi diffèrent-ils ?</t>
        </is>
      </c>
      <c r="I576" s="9" t="inlineStr">
        <is>
          <t>Contraposée : on suppose $\mathrm{non}\,Q$ et on démontre $\mathrm{non}\,P$. Absurde : on suppose $P$ et $\mathrm{non}\,Q$ et on aboutit à une contradiction (on montre que « $P$ et $\mathrm{non}\,Q$ » est fausse).</t>
        </is>
      </c>
      <c r="J576" s="9" t="inlineStr">
        <is>
          <t>Cours ; le programme ne cite que la contraposition.</t>
        </is>
      </c>
      <c r="K576" s="9" t="n"/>
      <c r="L576" s="9" t="inlineStr">
        <is>
          <t>Ajout d’après le cours « Logique et raisonnements »</t>
        </is>
      </c>
      <c r="M576" s="11" t="n"/>
      <c r="N576" s="11" t="n"/>
    </row>
    <row r="577">
      <c r="A577" s="9" t="inlineStr">
        <is>
          <t>M577</t>
        </is>
      </c>
      <c r="B577" s="10" t="inlineStr">
        <is>
          <t>Noir – conforme</t>
        </is>
      </c>
      <c r="C577" s="9" t="inlineStr">
        <is>
          <t>BCPST1</t>
        </is>
      </c>
      <c r="D577" s="9" t="inlineStr">
        <is>
          <t>BCPST1 · Outils 1 – Logique, ensembles</t>
        </is>
      </c>
      <c r="E577" s="9" t="inlineStr">
        <is>
          <t>Théorème</t>
        </is>
      </c>
      <c r="F577" s="9" t="inlineStr">
        <is>
          <t>Raisonnement par récurrence simple</t>
        </is>
      </c>
      <c r="G577" s="9" t="inlineStr">
        <is>
          <t>Soient $n_0\in\mathbb N$ et $\mathcal P(n)$ une assertion définie pour $n\ge n_0$.</t>
        </is>
      </c>
      <c r="H577" s="10" t="inlineStr">
        <is>
          <t>Énoncer le principe de récurrence (initialisation, hérédité).</t>
        </is>
      </c>
      <c r="I577" s="9" t="inlineStr">
        <is>
          <t>Si $\mathcal P(n_0)$ est vraie (initialisation) et si, pour tout $n\ge n_0$, $\mathcal P(n)\Rightarrow\mathcal P(n+1)$ (hérédité), alors $\mathcal P(n)$ est vraie pour tout $n\ge n_0$.</t>
        </is>
      </c>
      <c r="J577" s="9" t="inlineStr">
        <is>
          <t>Programme Outils 1 : « Raisonnement par récurrence. »</t>
        </is>
      </c>
      <c r="K577" s="9" t="n"/>
      <c r="L577" s="9" t="inlineStr">
        <is>
          <t>Ajout d’après le cours « Logique et raisonnements »</t>
        </is>
      </c>
      <c r="M577" s="11" t="n"/>
      <c r="N577" s="11" t="n"/>
    </row>
    <row r="578">
      <c r="A578" s="9" t="inlineStr">
        <is>
          <t>M578</t>
        </is>
      </c>
      <c r="B578" s="10" t="inlineStr">
        <is>
          <t>Noir – conforme</t>
        </is>
      </c>
      <c r="C578" s="9" t="inlineStr">
        <is>
          <t>BCPST1</t>
        </is>
      </c>
      <c r="D578" s="9" t="inlineStr">
        <is>
          <t>BCPST1 · Outils 1 – Logique, ensembles</t>
        </is>
      </c>
      <c r="E578" s="9" t="inlineStr">
        <is>
          <t>Théorème</t>
        </is>
      </c>
      <c r="F578" s="9" t="inlineStr">
        <is>
          <t>Récurrence double et récurrence forte</t>
        </is>
      </c>
      <c r="G578" s="9" t="inlineStr">
        <is>
          <t>Soient $n_0\in\mathbb N$ et $\mathcal P(n)$ une assertion définie pour $n\ge n_0$.</t>
        </is>
      </c>
      <c r="H578" s="10" t="inlineStr">
        <is>
          <t>Énoncer le principe de récurrence double, puis celui de récurrence forte.</t>
        </is>
      </c>
      <c r="I578" s="9" t="inlineStr">
        <is>
          <t>Double : si $\mathcal P(n_0)$ et $\mathcal P(n_0+1)$ sont vraies et si, pour tout $n\ge n_0$, $(\mathcal P(n)\text{ et }\mathcal P(n+1))\Rightarrow\mathcal P(n+2)$, alors $\mathcal P(n)$ est vraie pour tout $n\ge n_0$. Forte : si $\mathcal P(n_0)$ est vraie et si, pour tout $n\ge n_0$, $(\mathcal P(n_0),\dots,\mathcal P(n))\Rightarrow\mathcal P(n+1)$, même conclusion.</t>
        </is>
      </c>
      <c r="J578" s="9" t="inlineStr">
        <is>
          <t>Programme Outils 1 : « Lorsqu'un raisonnement par récurrence nécessite une hypothèse dite « forte », la formulation de cette hypothèse devra être proposée. »</t>
        </is>
      </c>
      <c r="K578" s="9" t="n"/>
      <c r="L578" s="9" t="inlineStr">
        <is>
          <t>Ajout d’après le cours « Logique et raisonnements »</t>
        </is>
      </c>
      <c r="M578" s="11" t="n"/>
      <c r="N578" s="11" t="n"/>
    </row>
    <row r="579">
      <c r="A579" s="9" t="inlineStr">
        <is>
          <t>M579</t>
        </is>
      </c>
      <c r="B579" s="10" t="inlineStr">
        <is>
          <t>Orange – incertain</t>
        </is>
      </c>
      <c r="C579" s="9" t="inlineStr">
        <is>
          <t>BCPST1</t>
        </is>
      </c>
      <c r="D579" s="9" t="inlineStr">
        <is>
          <t>BCPST1 · Outils 1 – Logique, ensembles</t>
        </is>
      </c>
      <c r="E579" s="9" t="inlineStr">
        <is>
          <t>Méthode</t>
        </is>
      </c>
      <c r="F579" s="9" t="inlineStr">
        <is>
          <t>Raisonnement par analyse-synthèse</t>
        </is>
      </c>
      <c r="G579" s="9" t="inlineStr">
        <is>
          <t>On cherche toutes les solutions d'un problème (par exemple une équation).</t>
        </is>
      </c>
      <c r="H579" s="10" t="inlineStr">
        <is>
          <t>Décrire le raisonnement par analyse-synthèse.</t>
        </is>
      </c>
      <c r="I579" s="9" t="inlineStr">
        <is>
          <t>Analyse : on suppose qu'une solution existe et on en déduit des conditions nécessaires, qui réduisent les candidats. Synthèse : on vérifie quels candidats sont effectivement solutions. Exemple : $\sqrt{x-3}+\sqrt x=3$.</t>
        </is>
      </c>
      <c r="J579" s="9" t="inlineStr">
        <is>
          <t>Cours ; non cité par le programme.</t>
        </is>
      </c>
      <c r="K579" s="9" t="n"/>
      <c r="L579" s="9" t="inlineStr">
        <is>
          <t>Ajout d’après le cours « Logique et raisonnements »</t>
        </is>
      </c>
      <c r="M579" s="11" t="n"/>
      <c r="N579" s="11" t="n"/>
    </row>
    <row r="580">
      <c r="A580" s="9" t="inlineStr">
        <is>
          <t>M580</t>
        </is>
      </c>
      <c r="B580" s="10" t="inlineStr">
        <is>
          <t>Noir – conforme</t>
        </is>
      </c>
      <c r="C580" s="9" t="inlineStr">
        <is>
          <t>BCPST1</t>
        </is>
      </c>
      <c r="D580" s="9" t="inlineStr">
        <is>
          <t>BCPST1 · Outils 5 – Méthodes de calcul</t>
        </is>
      </c>
      <c r="E580" s="9" t="inlineStr">
        <is>
          <t>Définition</t>
        </is>
      </c>
      <c r="F580" s="9" t="inlineStr">
        <is>
          <t>Symboles Σ et Π</t>
        </is>
      </c>
      <c r="G580" s="9" t="inlineStr">
        <is>
          <t>Soient $n_0\le n$ deux entiers et $a_{n_0},\dots,a_n$ des nombres.</t>
        </is>
      </c>
      <c r="H580" s="10" t="inlineStr">
        <is>
          <t>Que désignent $\sum_{k=n_0}^na_k$ et $\prod_{k=n_0}^na_k$ ? Combien de termes ? Que vaut une somme, un produit, sur un ensemble d'indices vide ?</t>
        </is>
      </c>
      <c r="I580" s="9" t="inlineStr">
        <is>
          <t>$\sum_{k=n_0}^na_k=a_{n_0}+\dots+a_n$ et $\prod_{k=n_0}^na_k=a_{n_0}\times\dots\times a_n$ ; il y a $n-n_0+1$ termes ; $k$ est une variable muette. Une somme vide vaut $0$, un produit vide vaut $1$.</t>
        </is>
      </c>
      <c r="J580" s="9" t="inlineStr">
        <is>
          <t>Programme Outils 5 : « Notation Σ. On précise qu'une somme ayant un ensemble d'indices vide est nulle » ; « Notation Π … un produit ayant un ensemble d'indices vide vaut 1. »</t>
        </is>
      </c>
      <c r="K580" s="9" t="n"/>
      <c r="L580" s="9" t="inlineStr">
        <is>
          <t>Ajout d’après le cours « Sommes et produits »</t>
        </is>
      </c>
      <c r="M580" s="11" t="n"/>
      <c r="N580" s="11" t="n"/>
    </row>
    <row r="581">
      <c r="A581" s="9" t="inlineStr">
        <is>
          <t>M581</t>
        </is>
      </c>
      <c r="B581" s="10" t="inlineStr">
        <is>
          <t>Noir – conforme</t>
        </is>
      </c>
      <c r="C581" s="9" t="inlineStr">
        <is>
          <t>BCPST1</t>
        </is>
      </c>
      <c r="D581" s="9" t="inlineStr">
        <is>
          <t>BCPST1 · Outils 5 – Méthodes de calcul</t>
        </is>
      </c>
      <c r="E581" s="9" t="inlineStr">
        <is>
          <t>Propriété</t>
        </is>
      </c>
      <c r="F581" s="9" t="inlineStr">
        <is>
          <t>Règles de calcul sur Σ et Π</t>
        </is>
      </c>
      <c r="G581" s="9" t="inlineStr">
        <is>
          <t>Soient $n_0\le p\le n$, $\lambda$ un nombre et $(a_k)$, $(b_k)$ des nombres.</t>
        </is>
      </c>
      <c r="H581" s="10" t="inlineStr">
        <is>
          <t>Donner la linéarité de $\Sigma$, la relation de Chasles, et les règles correspondantes pour $\Pi$.</t>
        </is>
      </c>
      <c r="I581" s="9" t="inlineStr">
        <is>
          <t>$\sum(a_k+b_k)=\sum a_k+\sum b_k$ ; $\sum\lambda a_k=\lambda\sum a_k$ ; $\sum_{k=n_0}^na_k=\sum_{k=n_0}^pa_k+\sum_{k=p+1}^na_k$. $\prod a_kb_k=\prod a_k\prod b_k$ ; $\prod_{k=n_0}^n\lambda a_k=\lambda^{n-n_0+1}\prod_{k=n_0}^na_k$ ; $\prod_{k=n_0}^na_k=\prod_{k=n_0}^pa_k\times\prod_{k=p+1}^na_k$.</t>
        </is>
      </c>
      <c r="J581" s="9" t="inlineStr">
        <is>
          <t>Programme Outils 5 : « Règles de calcul sur le symbole Σ : linéarité » ; « on se contente de mettre en valeur la multiplicativité du symbole Π. »</t>
        </is>
      </c>
      <c r="K581" s="9" t="n"/>
      <c r="L581" s="9" t="inlineStr">
        <is>
          <t>Ajout d’après le cours « Sommes et produits »</t>
        </is>
      </c>
      <c r="M581" s="11" t="n"/>
      <c r="N581" s="11" t="n"/>
    </row>
    <row r="582">
      <c r="A582" s="9" t="inlineStr">
        <is>
          <t>M582</t>
        </is>
      </c>
      <c r="B582" s="10" t="inlineStr">
        <is>
          <t>Noir – conforme</t>
        </is>
      </c>
      <c r="C582" s="9" t="inlineStr">
        <is>
          <t>BCPST1</t>
        </is>
      </c>
      <c r="D582" s="9" t="inlineStr">
        <is>
          <t>BCPST1 · Outils 5 – Méthodes de calcul</t>
        </is>
      </c>
      <c r="E582" s="9" t="inlineStr">
        <is>
          <t>Méthode</t>
        </is>
      </c>
      <c r="F582" s="9" t="inlineStr">
        <is>
          <t>Changements d’indice</t>
        </is>
      </c>
      <c r="G582" s="9" t="inlineStr">
        <is>
          <t>Soient $n_0\le n$, $p\in\mathbb Z$ et $(a_k)$ des nombres.</t>
        </is>
      </c>
      <c r="H582" s="10" t="inlineStr">
        <is>
          <t>Effectuer dans $\sum_{k=n_0}^na_k$ une translation $j=k+p$, puis une symétrie $j=n-k$ (pour $n_0=0$).</t>
        </is>
      </c>
      <c r="I582" s="9" t="inlineStr">
        <is>
          <t>Translation : $\sum_{k=n_0}^na_k=\sum_{j=n_0+p}^{n+p}a_{j-p}$. Symétrie : $\sum_{k=0}^na_{n-k}=\sum_{j=0}^na_j$. On transforme les bornes en même temps que l'indice.</t>
        </is>
      </c>
      <c r="J582" s="9" t="inlineStr">
        <is>
          <t>Programme Outils 5 : « changements d'indices (translations et symétries) ».</t>
        </is>
      </c>
      <c r="K582" s="9" t="n"/>
      <c r="L582" s="9" t="inlineStr">
        <is>
          <t>Ajout d’après le cours « Sommes et produits »</t>
        </is>
      </c>
      <c r="M582" s="11" t="n"/>
      <c r="N582" s="11" t="n"/>
    </row>
    <row r="583">
      <c r="A583" s="9" t="inlineStr">
        <is>
          <t>M583</t>
        </is>
      </c>
      <c r="B583" s="10" t="inlineStr">
        <is>
          <t>Noir – conforme</t>
        </is>
      </c>
      <c r="C583" s="9" t="inlineStr">
        <is>
          <t>BCPST1</t>
        </is>
      </c>
      <c r="D583" s="9" t="inlineStr">
        <is>
          <t>BCPST1 · Outils 5 – Méthodes de calcul</t>
        </is>
      </c>
      <c r="E583" s="9" t="inlineStr">
        <is>
          <t>Propriété</t>
        </is>
      </c>
      <c r="F583" s="9" t="inlineStr">
        <is>
          <t>Télescopage</t>
        </is>
      </c>
      <c r="G583" s="9" t="inlineStr">
        <is>
          <t>Soient $n_0\le n$ et $(a_k)$ des nombres (non nuls pour le produit).</t>
        </is>
      </c>
      <c r="H583" s="10" t="inlineStr">
        <is>
          <t>Que valent $\sum_{k=n_0}^n(a_{k+1}-a_k)$ et $\prod_{k=n_0}^n\dfrac{a_{k+1}}{a_k}$ ?</t>
        </is>
      </c>
      <c r="I583" s="9" t="inlineStr">
        <is>
          <t>$\sum_{k=n_0}^n(a_{k+1}-a_k)=a_{n+1}-a_{n_0}$ et $\prod_{k=n_0}^n\dfrac{a_{k+1}}{a_k}=\dfrac{a_{n+1}}{a_{n_0}}$. Exemple : $\sum_{k=1}^n\frac1{k(k+1)}=\sum_{k=1}^n\left(\frac1k-\frac1{k+1}\right)=1-\frac1{n+1}$.</t>
        </is>
      </c>
      <c r="J583" s="9" t="inlineStr">
        <is>
          <t>Programme Outils 5 : « télescopages ».</t>
        </is>
      </c>
      <c r="K583" s="9" t="n"/>
      <c r="L583" s="9" t="inlineStr">
        <is>
          <t>Ajout d’après le cours « Sommes et produits »</t>
        </is>
      </c>
      <c r="M583" s="11" t="n"/>
      <c r="N583" s="11" t="n"/>
    </row>
    <row r="584">
      <c r="A584" s="9" t="inlineStr">
        <is>
          <t>M584</t>
        </is>
      </c>
      <c r="B584" s="10" t="inlineStr">
        <is>
          <t>Noir – conforme</t>
        </is>
      </c>
      <c r="C584" s="9" t="inlineStr">
        <is>
          <t>BCPST1</t>
        </is>
      </c>
      <c r="D584" s="9" t="inlineStr">
        <is>
          <t>BCPST1 · Outils 5 – Méthodes de calcul</t>
        </is>
      </c>
      <c r="E584" s="9" t="inlineStr">
        <is>
          <t>Propriété</t>
        </is>
      </c>
      <c r="F584" s="9" t="inlineStr">
        <is>
          <t>Somme des n premiers carrés</t>
        </is>
      </c>
      <c r="G584" s="9" t="inlineStr">
        <is>
          <t>Soit $n\in\mathbb N$.</t>
        </is>
      </c>
      <c r="H584" s="10" t="inlineStr">
        <is>
          <t>Calculer $\sum_{k=1}^nk^2$.</t>
        </is>
      </c>
      <c r="I584" s="9" t="inlineStr">
        <is>
          <t>$\sum_{k=1}^nk^2=\dfrac{n(n+1)(2n+1)}6$.</t>
        </is>
      </c>
      <c r="J584" s="9" t="inlineStr">
        <is>
          <t>Programme Outils 5 : « Sommes des n premiers entiers et des n premiers carrés. »</t>
        </is>
      </c>
      <c r="K584" s="9" t="n"/>
      <c r="L584" s="9" t="inlineStr">
        <is>
          <t>Ajout d’après le cours « Sommes et produits »</t>
        </is>
      </c>
      <c r="M584" s="11" t="n"/>
      <c r="N584" s="11" t="n"/>
    </row>
    <row r="585">
      <c r="A585" s="9" t="inlineStr">
        <is>
          <t>M585</t>
        </is>
      </c>
      <c r="B585" s="10" t="inlineStr">
        <is>
          <t>Orange – incertain</t>
        </is>
      </c>
      <c r="C585" s="9" t="inlineStr">
        <is>
          <t>BCPST1</t>
        </is>
      </c>
      <c r="D585" s="9" t="inlineStr">
        <is>
          <t>BCPST1 · Outils 5 – Méthodes de calcul</t>
        </is>
      </c>
      <c r="E585" s="9" t="inlineStr">
        <is>
          <t>Propriété</t>
        </is>
      </c>
      <c r="F585" s="9" t="inlineStr">
        <is>
          <t>Somme des n premiers cubes</t>
        </is>
      </c>
      <c r="G585" s="9" t="inlineStr">
        <is>
          <t>Soit $n\in\mathbb N$.</t>
        </is>
      </c>
      <c r="H585" s="10" t="inlineStr">
        <is>
          <t>Calculer $\sum_{k=1}^nk^3$.</t>
        </is>
      </c>
      <c r="I585" s="9" t="inlineStr">
        <is>
          <t>$\sum_{k=1}^nk^3=\left(\dfrac{n(n+1)}2\right)^2$ (le carré de la somme des $n$ premiers entiers).</t>
        </is>
      </c>
      <c r="J585" s="9" t="inlineStr">
        <is>
          <t>Cours (« à connaître par cœur ») ; le programme ne cite que les entiers et les carrés.</t>
        </is>
      </c>
      <c r="K585" s="9" t="n"/>
      <c r="L585" s="9" t="inlineStr">
        <is>
          <t>Ajout d’après le cours « Sommes et produits »</t>
        </is>
      </c>
      <c r="M585" s="11" t="n"/>
      <c r="N585" s="11" t="n"/>
    </row>
    <row r="586">
      <c r="A586" s="9" t="inlineStr">
        <is>
          <t>M586</t>
        </is>
      </c>
      <c r="B586" s="10" t="inlineStr">
        <is>
          <t>Noir – conforme</t>
        </is>
      </c>
      <c r="C586" s="9" t="inlineStr">
        <is>
          <t>BCPST1</t>
        </is>
      </c>
      <c r="D586" s="9" t="inlineStr">
        <is>
          <t>BCPST1 · Outils 5 – Méthodes de calcul</t>
        </is>
      </c>
      <c r="E586" s="9" t="inlineStr">
        <is>
          <t>Propriété</t>
        </is>
      </c>
      <c r="F586" s="9" t="inlineStr">
        <is>
          <t>Somme géométrique</t>
        </is>
      </c>
      <c r="G586" s="9" t="inlineStr">
        <is>
          <t>Soient $q\in\mathbb C\setminus\{1\}$ et $n_0\le n$.</t>
        </is>
      </c>
      <c r="H586" s="10" t="inlineStr">
        <is>
          <t>Calculer $\sum_{k=0}^nq^k$, puis la somme des termes $u_{n_0},\dots,u_n$ d'une suite géométrique de raison $q$.</t>
        </is>
      </c>
      <c r="I586" s="9" t="inlineStr">
        <is>
          <t>$\sum_{k=0}^nq^k=\dfrac{q^{n+1}-1}{q-1}=\dfrac{1-q^{n+1}}{1-q}$ ; $\sum_{k=n_0}^nu_k=u_{n_0}\dfrac{1-q^{n-n_0+1}}{1-q}$ (premier terme × $\frac{1-q^{\text{nombre de termes}}}{1-q}$). Si $q=1$, la somme vaut $n+1$.</t>
        </is>
      </c>
      <c r="J586" s="9" t="inlineStr">
        <is>
          <t>Programme Outils 5 : « Somme de termes consécutifs d'une progression géométrique … La raison q est dans ℂ ∖ {1}. »</t>
        </is>
      </c>
      <c r="K586" s="9" t="n"/>
      <c r="L586" s="9" t="inlineStr">
        <is>
          <t>Ajout d’après le cours « Sommes et produits »</t>
        </is>
      </c>
      <c r="M586" s="11" t="n"/>
      <c r="N586" s="11" t="n"/>
    </row>
    <row r="587">
      <c r="A587" s="9" t="inlineStr">
        <is>
          <t>M587</t>
        </is>
      </c>
      <c r="B587" s="10" t="inlineStr">
        <is>
          <t>Noir – conforme</t>
        </is>
      </c>
      <c r="C587" s="9" t="inlineStr">
        <is>
          <t>BCPST1</t>
        </is>
      </c>
      <c r="D587" s="9" t="inlineStr">
        <is>
          <t>BCPST1 · Outils 5 – Méthodes de calcul</t>
        </is>
      </c>
      <c r="E587" s="9" t="inlineStr">
        <is>
          <t>Méthode</t>
        </is>
      </c>
      <c r="F587" s="9" t="inlineStr">
        <is>
          <t>Sommes doubles</t>
        </is>
      </c>
      <c r="G587" s="9" t="inlineStr">
        <is>
          <t>Soient $n,m\in\mathbb N^*$ et $(a_{i,j})$ des nombres.</t>
        </is>
      </c>
      <c r="H587" s="10" t="inlineStr">
        <is>
          <t>Écrire $\sum_{1\le i\le n,\,1\le j\le m}a_{i,j}$ et $\sum_{1\le i\le j\le n}a_{i,j}$ comme deux sommes simples successives.</t>
        </is>
      </c>
      <c r="I587" s="9" t="inlineStr">
        <is>
          <t>$\sum_{\substack{1\le i\le n\\1\le j\le m}}a_{i,j}=\sum_{i=1}^n\sum_{j=1}^ma_{i,j}=\sum_{j=1}^m\sum_{i=1}^na_{i,j}$ ; $\sum_{1\le i\le j\le n}a_{i,j}=\sum_{i=1}^n\sum_{j=i}^na_{i,j}=\sum_{j=1}^n\sum_{i=1}^ja_{i,j}$.</t>
        </is>
      </c>
      <c r="J587" s="9" t="inlineStr">
        <is>
          <t>Programme Outils 5 : « Sommes doubles … mettre sous la forme de deux sommes simples successives. »</t>
        </is>
      </c>
      <c r="K587" s="9" t="n"/>
      <c r="L587" s="9" t="inlineStr">
        <is>
          <t>Ajout d’après le cours « Sommes et produits »</t>
        </is>
      </c>
      <c r="M587" s="11" t="n"/>
      <c r="N587" s="11" t="n"/>
    </row>
    <row r="588">
      <c r="A588" s="9" t="inlineStr">
        <is>
          <t>M588</t>
        </is>
      </c>
      <c r="B588" s="10" t="inlineStr">
        <is>
          <t>Noir – conforme</t>
        </is>
      </c>
      <c r="C588" s="9" t="inlineStr">
        <is>
          <t>BCPST1</t>
        </is>
      </c>
      <c r="D588" s="9" t="inlineStr">
        <is>
          <t>BCPST1 · Analyse 1 – Suites réelles usuelles</t>
        </is>
      </c>
      <c r="E588" s="9" t="inlineStr">
        <is>
          <t>Méthode</t>
        </is>
      </c>
      <c r="F588" s="9" t="inlineStr">
        <is>
          <t>Suites arithmético-géométriques</t>
        </is>
      </c>
      <c r="G588" s="9" t="inlineStr">
        <is>
          <t>Soient $(a,b)\in\mathbb R^2$ et $(u_n)$ telle que $u_{n+1}=au_n+b$ pour tout $n$.</t>
        </is>
      </c>
      <c r="H588" s="10" t="inlineStr">
        <is>
          <t>Comment obtenir l'expression de $u_n$ en fonction de $n$ ?</t>
        </is>
      </c>
      <c r="I588" s="9" t="inlineStr">
        <is>
          <t>Si $a=1$, $(u_n)$ est arithmétique de raison $b$. Si $a\neq1$ : on cherche la suite constante solution, $L=aL+b$ (soit $L=\frac b{1-a}$) ; alors $v_n=u_n-L$ vérifie $v_{n+1}=av_n$, elle est géométrique de raison $a$ ; donc $u_n=L+a^n(u_0-L)$.</t>
        </is>
      </c>
      <c r="J588" s="9" t="inlineStr">
        <is>
          <t>Programme Analyse 1 : « La formule donnant le terme général n'est pas au programme. On cherchera une suite constante solution pour déterminer toutes les solutions. »</t>
        </is>
      </c>
      <c r="K588" s="9" t="n"/>
      <c r="L588" s="9" t="inlineStr">
        <is>
          <t>Ajout d’après le cours « Suites récurrentes classiques »</t>
        </is>
      </c>
      <c r="M588" s="11" t="n"/>
      <c r="N588" s="11" t="n"/>
    </row>
    <row r="589">
      <c r="A589" s="9" t="inlineStr">
        <is>
          <t>M589</t>
        </is>
      </c>
      <c r="B589" s="10" t="inlineStr">
        <is>
          <t>Noir – conforme</t>
        </is>
      </c>
      <c r="C589" s="9" t="inlineStr">
        <is>
          <t>BCPST1</t>
        </is>
      </c>
      <c r="D589" s="9" t="inlineStr">
        <is>
          <t>BCPST1 · Analyse 1 – Suites réelles usuelles</t>
        </is>
      </c>
      <c r="E589" s="9" t="inlineStr">
        <is>
          <t>Théorème</t>
        </is>
      </c>
      <c r="F589" s="9" t="inlineStr">
        <is>
          <t>Suites récurrentes linéaires d’ordre 2</t>
        </is>
      </c>
      <c r="G589" s="9" t="inlineStr">
        <is>
          <t>Soient $a\in\mathbb R$, $b\in\mathbb R^*$ et $(u_n)$ réelle telle que $u_{n+2}=au_{n+1}+bu_n$ pour tout $n$.</t>
        </is>
      </c>
      <c r="H589" s="10" t="inlineStr">
        <is>
          <t>Quelle est l'équation caractéristique ? Donner la forme de $u_n$ selon le signe de son discriminant $\Delta$.</t>
        </is>
      </c>
      <c r="I589" s="9" t="inlineStr">
        <is>
          <t>Équation caractéristique : $x^2=ax+b$. Si $\Delta&gt;0$ (racines réelles $x_1\neq x_2$) : $u_n=\alpha x_1^n+\beta x_2^n$. Si $\Delta=0$ (racine double $x_0$) : $u_n=(\alpha n+\beta)x_0^n$. Si $\Delta&lt;0$ (racines $re^{\pm i\theta}$, $r&gt;0$) : $u_n=r^n(\alpha\cos n\theta+\beta\sin n\theta)$. Les réels $\alpha,\beta$ sont uniques, fixés par $u_0$ et $u_1$.</t>
        </is>
      </c>
      <c r="J589" s="9" t="inlineStr">
        <is>
          <t>Programme Analyse 1 : « Suites vérifiant une relation du type $u_{n+2}=au_{n+1}+bu_n$. On se limite à la maitrise d'une méthode de calcul du n-ième terme à partir de l'équation caractéristique. Au besoin, on transite par ℂ. »</t>
        </is>
      </c>
      <c r="K589" s="9" t="n"/>
      <c r="L589" s="9" t="inlineStr">
        <is>
          <t>Ajout d’après le cours « Suites récurrentes classiques »</t>
        </is>
      </c>
      <c r="M589" s="11" t="n"/>
      <c r="N589" s="11" t="n"/>
    </row>
    <row r="590">
      <c r="A590" s="9" t="inlineStr">
        <is>
          <t>M590</t>
        </is>
      </c>
      <c r="B590" s="10" t="inlineStr">
        <is>
          <t>Noir – conforme</t>
        </is>
      </c>
      <c r="C590" s="9" t="inlineStr">
        <is>
          <t>BCPST2</t>
        </is>
      </c>
      <c r="D590" s="9" t="inlineStr">
        <is>
          <t>BCPST2 · Algèbre linéaire 2 – Applications linéaires et matrices</t>
        </is>
      </c>
      <c r="E590" s="9" t="inlineStr">
        <is>
          <t>Propriété</t>
        </is>
      </c>
      <c r="F590" s="9" t="inlineStr">
        <is>
          <t>Propriétés des opérations sur les applications linéaires</t>
        </is>
      </c>
      <c r="G590" s="9" t="inlineStr">
        <is>
          <t>Soient $f$, $g$, $h$ des applications linéaires (composables) et $\lambda\in\mathbb K$.</t>
        </is>
      </c>
      <c r="H590" s="10" t="inlineStr">
        <is>
          <t>Comment la composition se comporte-t-elle avec la somme et le produit par un scalaire ? Est-elle commutative ?</t>
        </is>
      </c>
      <c r="I590" s="9" t="inlineStr">
        <is>
          <t>$f\circ(g+h)=f\circ g+f\circ h$ ; $(f+g)\circ h=f\circ h+g\circ h$ ; $(\lambda f)\circ g=f\circ(\lambda g)=\lambda(f\circ g)$. La composition est associative mais pas commutative en général. Pour $f\in\mathcal L(E)$ : $f^0=\mathrm{id}_E$, $f^{n+1}=f\circ f^n$.</t>
        </is>
      </c>
      <c r="J590" s="9" t="inlineStr">
        <is>
          <t>Programme : « Opérations sur les applications linéaires : addition, multiplication par un scalaire, composition, réciproque. Propriétés de ces opérations. » ; BCPST2 : « Notation $f^n$ ».</t>
        </is>
      </c>
      <c r="K590" s="9" t="n"/>
      <c r="L590" s="9" t="inlineStr">
        <is>
          <t>Ajout d’après le cours « Applications linéaires »</t>
        </is>
      </c>
      <c r="M590" s="11" t="n"/>
      <c r="N590" s="11" t="n"/>
    </row>
    <row r="591">
      <c r="A591" s="9" t="inlineStr">
        <is>
          <t>M591</t>
        </is>
      </c>
      <c r="B591" s="10" t="inlineStr">
        <is>
          <t>Noir – conforme</t>
        </is>
      </c>
      <c r="C591" s="9" t="inlineStr">
        <is>
          <t>BCPST2</t>
        </is>
      </c>
      <c r="D591" s="9" t="inlineStr">
        <is>
          <t>BCPST2 · Algèbre linéaire 2 – Applications linéaires et matrices</t>
        </is>
      </c>
      <c r="E591" s="9" t="inlineStr">
        <is>
          <t>Propriété</t>
        </is>
      </c>
      <c r="F591" s="9" t="inlineStr">
        <is>
          <t>Image d’un vecteur : Y = AX</t>
        </is>
      </c>
      <c r="G591" s="9" t="inlineStr">
        <is>
          <t>Soient $f\in\mathcal L(E,F)$, $\mathcal B$ et $\mathcal C$ des bases de $E$ et $F$, $A=\mathrm{Mat}_{\mathcal B,\mathcal C}(f)$ et $u\in E$.</t>
        </is>
      </c>
      <c r="H591" s="10" t="inlineStr">
        <is>
          <t>Comment calculer les coordonnées de $f(u)$ à l'aide de $A$ ?</t>
        </is>
      </c>
      <c r="I591" s="9" t="inlineStr">
        <is>
          <t>Si $X=\mathrm{Mat}_{\mathcal B}(u)$ et $Y=\mathrm{Mat}_{\mathcal C}(f(u))$, alors $Y=AX$, i.e. $\mathrm{Mat}_{\mathcal C}(f(u))=\mathrm{Mat}_{\mathcal B,\mathcal C}(f)\times\mathrm{Mat}_{\mathcal B}(u)$ : $y_i=\sum_{k=1}^pa_{ik}x_k$.</t>
        </is>
      </c>
      <c r="J591" s="9" t="inlineStr">
        <is>
          <t>Programme : « Matrice d'une application linéaire dans des bases » ; lien noyau/image d'une matrice et de l'application qu'elle représente.</t>
        </is>
      </c>
      <c r="K591" s="9" t="n"/>
      <c r="L591" s="9" t="inlineStr">
        <is>
          <t>Ajout d’après le cours « Applications linéaires »</t>
        </is>
      </c>
      <c r="M591" s="11" t="n"/>
      <c r="N591" s="11" t="n"/>
    </row>
    <row r="592">
      <c r="A592" s="9" t="inlineStr">
        <is>
          <t>M592</t>
        </is>
      </c>
      <c r="B592" s="10" t="inlineStr">
        <is>
          <t>Orange – incertain</t>
        </is>
      </c>
      <c r="C592" s="9" t="inlineStr">
        <is>
          <t>BCPST2</t>
        </is>
      </c>
      <c r="D592" s="9" t="inlineStr">
        <is>
          <t>BCPST2 · Algèbre linéaire 2 – Applications linéaires et matrices</t>
        </is>
      </c>
      <c r="E592" s="9" t="inlineStr">
        <is>
          <t>Propriété</t>
        </is>
      </c>
      <c r="F592" s="9" t="inlineStr">
        <is>
          <t>Application linéaire canoniquement associée à une matrice</t>
        </is>
      </c>
      <c r="G592" s="9" t="inlineStr">
        <is>
          <t>Soient $n,p\in\mathbb N^*$ et $A\in\mathcal M_{n,p}(\mathbb K)$.</t>
        </is>
      </c>
      <c r="H592" s="10" t="inlineStr">
        <is>
          <t>Quelle application linéaire $A$ représente-t-elle dans les bases canoniques ? Quelle correspondance obtient-on ?</t>
        </is>
      </c>
      <c r="I592" s="9" t="inlineStr">
        <is>
          <t>$f_A:\mathbb K^p\to\mathbb K^n$, l'unique application linéaire qui envoie le $j$-ème vecteur de la base canonique sur le vecteur dont les coordonnées forment la $j$-ème colonne $C_j$ de $A$ : $f_A(x_1,\dots,x_p)=\sum_jx_jC_j$. L'application $f\mapsto\mathrm{Mat}_{\mathrm{can}}(f)$ est une bijection de $\mathcal L(\mathbb K^p,\mathbb K^n)$ sur $\mathcal M_{n,p}(\mathbb K)$.</t>
        </is>
      </c>
      <c r="J592" s="9" t="inlineStr">
        <is>
          <t>Cours ; le programme de 2ᵉ année demande d'éviter d'identifier un vecteur à sa matrice colonne.</t>
        </is>
      </c>
      <c r="K592" s="9" t="n"/>
      <c r="L592" s="9" t="inlineStr">
        <is>
          <t>Ajout d’après le cours « Applications linéaires »</t>
        </is>
      </c>
      <c r="M592" s="11" t="n"/>
      <c r="N592" s="11" t="n"/>
    </row>
    <row r="593">
      <c r="A593" s="9" t="inlineStr">
        <is>
          <t>M593</t>
        </is>
      </c>
      <c r="B593" s="10" t="inlineStr">
        <is>
          <t>Noir – conforme</t>
        </is>
      </c>
      <c r="C593" s="9" t="inlineStr">
        <is>
          <t>BCPST1</t>
        </is>
      </c>
      <c r="D593" s="9" t="inlineStr">
        <is>
          <t>BCPST1 · Analyse 9 – Développements limités</t>
        </is>
      </c>
      <c r="E593" s="9" t="inlineStr">
        <is>
          <t>Méthode</t>
        </is>
      </c>
      <c r="F593" s="9" t="inlineStr">
        <is>
          <t>Position de la courbe par rapport à sa tangente</t>
        </is>
      </c>
      <c r="G593" s="9" t="inlineStr">
        <is>
          <t>Soit $f$ admettant en $a$ un DL $f(x)=f(a)+f'(a)(x-a)+c\,(x-a)^p+o\big((x-a)^p\big)$ avec $c\neq0$ et $p\ge2$.</t>
        </is>
      </c>
      <c r="H593" s="10" t="inlineStr">
        <is>
          <t>Comment en déduire la position locale de la courbe de $f$ par rapport à sa tangente en $a$ ?</t>
        </is>
      </c>
      <c r="I593" s="9" t="inlineStr">
        <is>
          <t>Au voisinage de $a$, $f(x)-[f(a)+f'(a)(x-a)]$ a le signe de $c\,(x-a)^p$. Si $p$ est pair : la courbe est au-dessus de la tangente si $c&gt;0$, au-dessous si $c&lt;0$. Si $p$ est impair : elle traverse sa tangente (point d'inflexion).</t>
        </is>
      </c>
      <c r="J593" s="9" t="inlineStr">
        <is>
          <t>Programme Analyse 9 : « Étude locale d'une fonction : … tangente, position relative de la courbe et de la tangente. »</t>
        </is>
      </c>
      <c r="K593" s="9" t="n"/>
      <c r="L593" s="9" t="inlineStr">
        <is>
          <t>Ajout d’après le cours « Développements limités »</t>
        </is>
      </c>
      <c r="M593" s="11" t="n"/>
      <c r="N593" s="11" t="n"/>
    </row>
    <row r="594">
      <c r="A594" s="9" t="inlineStr">
        <is>
          <t>M594</t>
        </is>
      </c>
      <c r="B594" s="10" t="inlineStr">
        <is>
          <t>Orange – incertain</t>
        </is>
      </c>
      <c r="C594" s="9" t="inlineStr">
        <is>
          <t>BCPST1</t>
        </is>
      </c>
      <c r="D594" s="9" t="inlineStr">
        <is>
          <t>BCPST1 · Analyse 9 – Développements limités</t>
        </is>
      </c>
      <c r="E594" s="9" t="inlineStr">
        <is>
          <t>Propriété</t>
        </is>
      </c>
      <c r="F594" s="9" t="inlineStr">
        <is>
          <t>DL d’une fonction paire ou impaire</t>
        </is>
      </c>
      <c r="G594" s="9" t="inlineStr">
        <is>
          <t>Soit $f$ définie sur un intervalle symétrique et admettant un $DL_n(0)$.</t>
        </is>
      </c>
      <c r="H594" s="10" t="inlineStr">
        <is>
          <t>Que dire de la partie régulière si $f$ est paire ? impaire ?</t>
        </is>
      </c>
      <c r="I594" s="9" t="inlineStr">
        <is>
          <t>Si $f$ est paire, sa partie régulière ne contient que des puissances paires de $x$ ; si $f$ est impaire, que des puissances impaires (conséquence de l'unicité du DL). Exemples : $\cos$, $\sin$.</t>
        </is>
      </c>
      <c r="J594" s="9" t="inlineStr">
        <is>
          <t>Exemple du cours ; non cité par le programme.</t>
        </is>
      </c>
      <c r="K594" s="9" t="n"/>
      <c r="L594" s="9" t="inlineStr">
        <is>
          <t>Ajout d’après le cours « Développements limités »</t>
        </is>
      </c>
      <c r="M594" s="11" t="n"/>
      <c r="N594" s="11" t="n"/>
    </row>
    <row r="595">
      <c r="A595" s="9" t="inlineStr">
        <is>
          <t>M595</t>
        </is>
      </c>
      <c r="B595" s="10" t="inlineStr">
        <is>
          <t>Orange – incertain</t>
        </is>
      </c>
      <c r="C595" s="9" t="inlineStr">
        <is>
          <t>BCPST1</t>
        </is>
      </c>
      <c r="D595" s="9" t="inlineStr">
        <is>
          <t>BCPST1 · Analyse 9 – Développements limités</t>
        </is>
      </c>
      <c r="E595" s="9" t="inlineStr">
        <is>
          <t>Méthode</t>
        </is>
      </c>
      <c r="F595" s="9" t="inlineStr">
        <is>
          <t>DL d’un inverse, d’un quotient</t>
        </is>
      </c>
      <c r="G595" s="9" t="inlineStr">
        <is>
          <t>Soient $f$, $g$ admettant un $DL_n(0)$ avec $g(0)=a\neq0$.</t>
        </is>
      </c>
      <c r="H595" s="10" t="inlineStr">
        <is>
          <t>Comment obtenir le $DL_n(0)$ de $\dfrac1g$, puis de $\dfrac fg$ ? Comment traiter $\ln(a+h)$ et $e^{a+h}$ ?</t>
        </is>
      </c>
      <c r="I595" s="9" t="inlineStr">
        <is>
          <t>$\dfrac1{g(x)}=\dfrac1a\times\dfrac1{1+u(x)}$ avec $u=\frac ga-1\to0$, puis on compose avec le DL de $\frac1{1+u}$ ; $\frac fg=f\times\frac1g$ (produit). De même $\ln(a+h)=\ln a+\ln\left(1+\frac ha\right)$ et $e^{a+h}=e^a\,e^h$.</t>
        </is>
      </c>
      <c r="J595" s="9" t="inlineStr">
        <is>
          <t>Cours ; le programme ne cite que somme, produit et composée « sur des exemples simples ».</t>
        </is>
      </c>
      <c r="K595" s="9" t="n"/>
      <c r="L595" s="9" t="inlineStr">
        <is>
          <t>Ajout d’après le cours « Développements limités »</t>
        </is>
      </c>
      <c r="M595" s="11" t="n"/>
      <c r="N595" s="11" t="n"/>
    </row>
    <row r="596">
      <c r="A596" s="9" t="inlineStr">
        <is>
          <t>M596</t>
        </is>
      </c>
      <c r="B596" s="10" t="inlineStr">
        <is>
          <t>Noir – conforme</t>
        </is>
      </c>
      <c r="C596" s="9" t="inlineStr">
        <is>
          <t>BCPST1</t>
        </is>
      </c>
      <c r="D596" s="9" t="inlineStr">
        <is>
          <t>BCPST1 · Analyse 2 – Fonctions réelles usuelles</t>
        </is>
      </c>
      <c r="E596" s="9" t="inlineStr">
        <is>
          <t>Méthode</t>
        </is>
      </c>
      <c r="F596" s="9" t="inlineStr">
        <is>
          <t>Réduction du domaine d’étude</t>
        </is>
      </c>
      <c r="G596" s="9" t="inlineStr">
        <is>
          <t>Soient $f$ définie sur $D_f$, de courbe $\mathcal C_f$, et $a,b$ deux réels.</t>
        </is>
      </c>
      <c r="H596" s="10" t="inlineStr">
        <is>
          <t>Comment réduire l'intervalle d'étude si $f$ est $T$-périodique ? paire ou impaire ? si $f(2a-x)=f(x)$ ? si $f(2a-x)=2b-f(x)$ ?</t>
        </is>
      </c>
      <c r="I596" s="9" t="inlineStr">
        <is>
          <t>$T$-périodique : on étudie $f$ sur un intervalle de longueur $T$, puis on complète par translations de vecteur $T\vec\imath$. Paire (resp. impaire) : étude sur $D_f\cap\mathbb R_+$, puis symétrie par rapport à $(Oy)$ (resp. à $O$). Si $f(2a-x)=f(x)$ (avec $2a-x\in D_f$) : $\mathcal C_f$ est symétrique par rapport à la droite $x=a$. Si $f(2a-x)=2b-f(x)$ : symétrique par rapport au point $(a,b)$. Dans ces deux cas, étude sur $D_f\cap[a,+\infty[$.</t>
        </is>
      </c>
      <c r="J596" s="9" t="inlineStr">
        <is>
          <t>Programme Analyse 2 : « Réduction du domaine d'étude selon les symétries et/ou les périodicités déterminées. On abordera uniquement des exemples simples. »</t>
        </is>
      </c>
      <c r="K596" s="9" t="n"/>
      <c r="L596" s="9" t="inlineStr">
        <is>
          <t>Ajout d’après le cours « Plan d’étude d’une fonction »</t>
        </is>
      </c>
      <c r="M596" s="11" t="n"/>
      <c r="N596" s="11" t="n"/>
    </row>
    <row r="597">
      <c r="A597" s="9" t="inlineStr">
        <is>
          <t>M597</t>
        </is>
      </c>
      <c r="B597" s="10" t="inlineStr">
        <is>
          <t>Noir – conforme</t>
        </is>
      </c>
      <c r="C597" s="9" t="inlineStr">
        <is>
          <t>BCPST1</t>
        </is>
      </c>
      <c r="D597" s="9" t="inlineStr">
        <is>
          <t>BCPST1 · Analyse 2 – Fonctions réelles usuelles</t>
        </is>
      </c>
      <c r="E597" s="9" t="inlineStr">
        <is>
          <t>Méthode</t>
        </is>
      </c>
      <c r="F597" s="9" t="inlineStr">
        <is>
          <t>Plan d’étude d’une fonction</t>
        </is>
      </c>
      <c r="G597" s="9" t="inlineStr">
        <is>
          <t>Soit $f$ une fonction réelle à étudier.</t>
        </is>
      </c>
      <c r="H597" s="10" t="inlineStr">
        <is>
          <t>Quelles sont les étapes de l'étude de $f$ ?</t>
        </is>
      </c>
      <c r="I597" s="9" t="inlineStr">
        <is>
          <t>1) Ensemble de définition et réduction du domaine (parité, périodicité, symétries). 2) Continuité (prolongement éventuel) et dérivabilité. 3) Signe de $f'$ et tableau de variations. 4) Limites aux bornes : asymptotes verticales, horizontales, obliques, branches paraboliques. 5) Tracé : symétries, tangentes remarquables (horizontales, verticales, aux bornes), asymptotes, points d'inflexion.</t>
        </is>
      </c>
      <c r="J597" s="9" t="inlineStr">
        <is>
          <t>Programme Analyse 2 b) « Étude d'une fonction » : réduction du domaine, tableau de variations, tangente, asymptotes, tracé du graphe ; Analyse 9 : étude locale.</t>
        </is>
      </c>
      <c r="K597" s="9" t="n"/>
      <c r="L597" s="9" t="inlineStr">
        <is>
          <t>Ajout d’après le cours « Plan d’étude d’une fonction »</t>
        </is>
      </c>
      <c r="M597" s="11" t="n"/>
      <c r="N597" s="11" t="n"/>
    </row>
    <row r="598">
      <c r="A598" s="9" t="inlineStr">
        <is>
          <t>M598</t>
        </is>
      </c>
      <c r="B598" s="10" t="inlineStr">
        <is>
          <t>Orange – incertain</t>
        </is>
      </c>
      <c r="C598" s="9" t="inlineStr">
        <is>
          <t>BCPST1</t>
        </is>
      </c>
      <c r="D598" s="9" t="inlineStr">
        <is>
          <t>BCPST1 · Analyse 2 – Fonctions réelles usuelles</t>
        </is>
      </c>
      <c r="E598" s="9" t="inlineStr">
        <is>
          <t>Méthode</t>
        </is>
      </c>
      <c r="F598" s="9" t="inlineStr">
        <is>
          <t>Branches infinies en +∞</t>
        </is>
      </c>
      <c r="G598" s="9" t="inlineStr">
        <is>
          <t>Soit $f$ telle que $f(x)\to\pm\infty$ quand $x\to+\infty$.</t>
        </is>
      </c>
      <c r="H598" s="10" t="inlineStr">
        <is>
          <t>Comment classer la branche infinie de $\mathcal C_f$ en $+\infty$ ?</t>
        </is>
      </c>
      <c r="I598" s="9" t="inlineStr">
        <is>
          <t>On étudie $\lim\frac{f(x)}x$. Si elle vaut $\pm\infty$ : branche parabolique de direction $(Oy)$. Si elle vaut $0$ : branche parabolique de direction $(Ox)$. Si elle vaut $a\in\mathbb R^*$, on étudie $f(x)-ax$ : limite $b$ finie, la droite $y=ax+b$ est asymptote (position : signe de $f(x)-(ax+b)$) ; limite infinie, branche parabolique de direction $y=ax$.</t>
        </is>
      </c>
      <c r="J598" s="9" t="inlineStr">
        <is>
          <t>Cours ; le programme cite les asymptotes (Analyse 2 et 9) mais pas les branches paraboliques.</t>
        </is>
      </c>
      <c r="K598" s="9" t="n"/>
      <c r="L598" s="9" t="inlineStr">
        <is>
          <t>Ajout d’après le cours « Plan d’étude d’une fonction »</t>
        </is>
      </c>
      <c r="M598" s="11" t="n"/>
      <c r="N598" s="11" t="n"/>
    </row>
    <row r="599">
      <c r="A599" s="9" t="inlineStr">
        <is>
          <t>M599</t>
        </is>
      </c>
      <c r="B599" s="10" t="inlineStr">
        <is>
          <t>Noir – conforme</t>
        </is>
      </c>
      <c r="C599" s="9" t="inlineStr">
        <is>
          <t>BCPST1</t>
        </is>
      </c>
      <c r="D599" s="9" t="inlineStr">
        <is>
          <t>BCPST1 · Analyse 6 – Limites, continuité</t>
        </is>
      </c>
      <c r="E599" s="9" t="inlineStr">
        <is>
          <t>Propriété</t>
        </is>
      </c>
      <c r="F599" s="9" t="inlineStr">
        <is>
          <t>Croissances comparées (fonctions)</t>
        </is>
      </c>
      <c r="G599" s="9" t="inlineStr">
        <is>
          <t>Soient $\alpha&gt;0$ et $\beta&gt;0$.</t>
        </is>
      </c>
      <c r="H599" s="10" t="inlineStr">
        <is>
          <t>Donner les limites de croissances comparées entre puissances, exponentielle et logarithme (en $+\infty$, en $0^+$, en $-\infty$).</t>
        </is>
      </c>
      <c r="I599" s="9" t="inlineStr">
        <is>
          <t>En $+\infty$ : $\dfrac{(\ln x)^\beta}{x^\alpha}\to0$ et $\dfrac{x^\alpha}{e^{\beta x}}\to0$ (en particulier $\frac{\ln x}x\to0$, $\frac{e^x}x\to+\infty$). En $0^+$ : $x^\alpha|\ln x|^\beta\to0$ (dont $x\ln x\to0^-$). En $-\infty$ : $|x|^\alpha e^x\to0$ (dont $xe^x\to0$).</t>
        </is>
      </c>
      <c r="J599" s="9" t="inlineStr">
        <is>
          <t>Programme Analyse 6 : « Croissances comparées des fonctions exponentielles, puissances et logarithmes. Connaissance de $\lim_{x\to0}x^\alpha\ln^\beta(x)$, de $\lim_{x\to+\infty}x^\alpha\exp(-\beta x^\gamma)$. »</t>
        </is>
      </c>
      <c r="K599" s="9" t="n"/>
      <c r="L599" s="9" t="inlineStr">
        <is>
          <t>Ajout d’après le cours « Limites, continuité »</t>
        </is>
      </c>
      <c r="M599" s="11" t="n"/>
      <c r="N599" s="11" t="n"/>
    </row>
    <row r="600">
      <c r="A600" s="9" t="inlineStr">
        <is>
          <t>M600</t>
        </is>
      </c>
      <c r="B600" s="10" t="inlineStr">
        <is>
          <t>Noir – conforme</t>
        </is>
      </c>
      <c r="C600" s="9" t="inlineStr">
        <is>
          <t>BCPST1</t>
        </is>
      </c>
      <c r="D600" s="9" t="inlineStr">
        <is>
          <t>BCPST1 · Analyse 6 – Limites, continuité</t>
        </is>
      </c>
      <c r="E600" s="9" t="inlineStr">
        <is>
          <t>Propriété</t>
        </is>
      </c>
      <c r="F600" s="9" t="inlineStr">
        <is>
          <t>Limites usuelles en 0</t>
        </is>
      </c>
      <c r="G600" s="9" t="n"/>
      <c r="H600" s="10" t="inlineStr">
        <is>
          <t>Donner les limites en $0$ de $\dfrac{\sin x}x$, $\dfrac{\tan x}x$, $\dfrac{1-\cos x}{x^2}$, $\dfrac{\ln(1+x)}x$, $\dfrac{e^x-1}x$.</t>
        </is>
      </c>
      <c r="I600" s="9" t="inlineStr">
        <is>
          <t>$\dfrac{\sin x}x\to1$ ; $\dfrac{\tan x}x\to1$ ; $\dfrac{1-\cos x}{x^2}\to\dfrac12$ ; $\dfrac{\ln(1+x)}x\to1$ ; $\dfrac{e^x-1}x\to1$ (taux d'accroissement en $0$ de $\sin$, $\tan$, $\ln(1+\cdot)$, $\exp$).</t>
        </is>
      </c>
      <c r="J600" s="9" t="inlineStr">
        <is>
          <t>Programme Analyse 6 : « Utilisation des équivalents pour la recherche de limites » ; ces limites traduisent les équivalents usuels en 0.</t>
        </is>
      </c>
      <c r="K600" s="9" t="n"/>
      <c r="L600" s="9" t="inlineStr">
        <is>
          <t>Ajout d’après le cours « Limites, continuité »</t>
        </is>
      </c>
      <c r="M600" s="11" t="n"/>
      <c r="N600" s="11" t="n"/>
    </row>
    <row r="601">
      <c r="A601" s="9" t="inlineStr">
        <is>
          <t>M601</t>
        </is>
      </c>
      <c r="B601" s="10" t="inlineStr">
        <is>
          <t>Noir – conforme</t>
        </is>
      </c>
      <c r="C601" s="9" t="inlineStr">
        <is>
          <t>BCPST1</t>
        </is>
      </c>
      <c r="D601" s="9" t="inlineStr">
        <is>
          <t>BCPST1 · Analyse 6 – Limites, continuité</t>
        </is>
      </c>
      <c r="E601" s="9" t="inlineStr">
        <is>
          <t>Propriété</t>
        </is>
      </c>
      <c r="F601" s="9" t="inlineStr">
        <is>
          <t>Prolongement par continuité</t>
        </is>
      </c>
      <c r="G601" s="9" t="inlineStr">
        <is>
          <t>Soient $I$ un intervalle, $a\in I$ et $f$ continue sur $I\setminus\{a\}$.</t>
        </is>
      </c>
      <c r="H601" s="10" t="inlineStr">
        <is>
          <t>À quelle condition peut-on prolonger $f$ par continuité en $a$ ? Comment ?</t>
        </is>
      </c>
      <c r="I601" s="9" t="inlineStr">
        <is>
          <t>Si $f$ admet une limite finie $l$ en $a$, la fonction $\tilde f$ égale à $f$ sur $I\setminus\{a\}$ et telle que $\tilde f(a)=l$ est continue sur $I$ : c'est le prolongement par continuité de $f$ en $a$. Exemple : $x\ln x$ se prolonge en $0$ par $0$.</t>
        </is>
      </c>
      <c r="J601" s="9" t="inlineStr">
        <is>
          <t>Programme Analyse 6 : « Prolongement par continuité. »</t>
        </is>
      </c>
      <c r="K601" s="9" t="n"/>
      <c r="L601" s="9" t="inlineStr">
        <is>
          <t>Ajout d’après le cours « Limites, continuité »</t>
        </is>
      </c>
      <c r="M601" s="11" t="n"/>
      <c r="N601" s="11" t="n"/>
    </row>
    <row r="602">
      <c r="A602" s="9" t="inlineStr">
        <is>
          <t>M602</t>
        </is>
      </c>
      <c r="B602" s="10" t="inlineStr">
        <is>
          <t>Orange – incertain</t>
        </is>
      </c>
      <c r="C602" s="9" t="inlineStr">
        <is>
          <t>BCPST1</t>
        </is>
      </c>
      <c r="D602" s="9" t="inlineStr">
        <is>
          <t>BCPST1 · Analyse 6 – Limites, continuité</t>
        </is>
      </c>
      <c r="E602" s="9" t="inlineStr">
        <is>
          <t>Propriété</t>
        </is>
      </c>
      <c r="F602" s="9" t="inlineStr">
        <is>
          <t>Caractérisation séquentielle de la limite</t>
        </is>
      </c>
      <c r="G602" s="9" t="inlineStr">
        <is>
          <t>Soient $f$ définie sur $I$, $a$ un point ou une extrémité de $I$ et $l\in\mathbb R$.</t>
        </is>
      </c>
      <c r="H602" s="10" t="inlineStr">
        <is>
          <t>Énoncer la caractérisation séquentielle de $\lim_af=l$. Comment l'utiliser pour montrer qu'une fonction n'a pas de limite en $a$ ?</t>
        </is>
      </c>
      <c r="I602" s="9" t="inlineStr">
        <is>
          <t>$\lim_af=l$ ssi pour toute suite $(u_n)$ d'éléments de $I$ qui tend vers $a$, $f(u_n)\to l$. Pour montrer l'absence de limite : trouver deux suites $u_n\to a$ et $v_n\to a$ telles que $f(u_n)$ et $f(v_n)$ aient des limites différentes (ex. $\sin\frac1x$ en $0$).</t>
        </is>
      </c>
      <c r="J602" s="9" t="inlineStr">
        <is>
          <t>Cours ; le programme ne demande que le sens direct (composition suite-fonction).</t>
        </is>
      </c>
      <c r="K602" s="9" t="n"/>
      <c r="L602" s="9" t="inlineStr">
        <is>
          <t>Ajout d’après le cours « Limites, continuité »</t>
        </is>
      </c>
      <c r="M602" s="11" t="n"/>
      <c r="N602" s="11" t="n"/>
    </row>
    <row r="603">
      <c r="A603" s="9" t="inlineStr">
        <is>
          <t>M603</t>
        </is>
      </c>
      <c r="B603" s="10" t="inlineStr">
        <is>
          <t>Noir – conforme</t>
        </is>
      </c>
      <c r="C603" s="9" t="inlineStr">
        <is>
          <t>BCPST1</t>
        </is>
      </c>
      <c r="D603" s="9" t="inlineStr">
        <is>
          <t>BCPST1 · Outils 2 – Nombres réels</t>
        </is>
      </c>
      <c r="E603" s="9" t="inlineStr">
        <is>
          <t>Définition</t>
        </is>
      </c>
      <c r="F603" s="9" t="inlineStr">
        <is>
          <t>Majorant, maximum, borne supérieure</t>
        </is>
      </c>
      <c r="G603" s="9" t="inlineStr">
        <is>
          <t>Soient $A$ une partie de $\mathbb R$ et $\alpha$ un réel.</t>
        </is>
      </c>
      <c r="H603" s="10" t="inlineStr">
        <is>
          <t>Définir : $\alpha$ majorant (minorant) de $A$ ; $A$ majorée, minorée, bornée ; maximum (minimum) ; borne supérieure (inférieure). Quand existent-elles ?</t>
        </is>
      </c>
      <c r="I603" s="9" t="inlineStr">
        <is>
          <t>Majorant : $\forall x\in A,\ x\le\alpha$ (minorant : $x\ge\alpha$). $A$ est majorée (minorée) si elle admet un majorant (minorant), bornée si les deux. Maximum : majorant de $A$ qui appartient à $A$ (minimum : minorant appartenant à $A$). $\sup A$ : le plus petit des majorants ; $\inf A$ : le plus grand des minorants. Toute partie non vide majorée (minorée) de $\mathbb R$ admet une borne supérieure (inférieure) ; si $A$ a un maximum, c'est $\sup A$.</t>
        </is>
      </c>
      <c r="J603" s="9" t="inlineStr">
        <is>
          <t>Programme Outils 2 : « Majorant, minorant, plus grand, plus petit élément d'une partie non vide de ℝ. Borne supérieure, borne inférieure. On admet l'existence de la borne supérieure d'une partie majorée non vide. »</t>
        </is>
      </c>
      <c r="K603" s="9" t="n"/>
      <c r="L603" s="9" t="inlineStr">
        <is>
          <t>Ajout d’après le cours « Les réels »</t>
        </is>
      </c>
      <c r="M603" s="11" t="n"/>
      <c r="N603" s="11" t="n"/>
    </row>
    <row r="604">
      <c r="A604" s="9" t="inlineStr">
        <is>
          <t>M604</t>
        </is>
      </c>
      <c r="B604" s="10" t="inlineStr">
        <is>
          <t>Orange – incertain</t>
        </is>
      </c>
      <c r="C604" s="9" t="inlineStr">
        <is>
          <t>BCPST1</t>
        </is>
      </c>
      <c r="D604" s="9" t="inlineStr">
        <is>
          <t>BCPST1 · Outils 2 – Nombres réels</t>
        </is>
      </c>
      <c r="E604" s="9" t="inlineStr">
        <is>
          <t>Propriété</t>
        </is>
      </c>
      <c r="F604" s="9" t="inlineStr">
        <is>
          <t>Parties de ℕ et de ℤ</t>
        </is>
      </c>
      <c r="G604" s="9" t="inlineStr">
        <is>
          <t>Soit $A$ une partie non vide.</t>
        </is>
      </c>
      <c r="H604" s="10" t="inlineStr">
        <is>
          <t>Que dire d'une partie non vide de $\mathbb N$ ? d'une partie non vide majorée de $\mathbb Z$ ? d'une partie finie non vide de $\mathbb R$ ?</t>
        </is>
      </c>
      <c r="I604" s="9" t="inlineStr">
        <is>
          <t>Toute partie non vide de $\mathbb N$ admet un plus petit élément. Toute partie non vide majorée (minorée) de $\mathbb Z$ admet un plus grand (petit) élément. Toute partie finie non vide de $\mathbb R$ admet un maximum et un minimum.</t>
        </is>
      </c>
      <c r="J604" s="9" t="inlineStr">
        <is>
          <t>Cours (admis) ; non cité par le programme.</t>
        </is>
      </c>
      <c r="K604" s="9" t="n"/>
      <c r="L604" s="9" t="inlineStr">
        <is>
          <t>Ajout d’après le cours « Les réels »</t>
        </is>
      </c>
      <c r="M604" s="11" t="n"/>
      <c r="N604" s="11" t="n"/>
    </row>
    <row r="605">
      <c r="A605" s="9" t="inlineStr">
        <is>
          <t>M605</t>
        </is>
      </c>
      <c r="B605" s="10" t="inlineStr">
        <is>
          <t>Noir – conforme</t>
        </is>
      </c>
      <c r="C605" s="9" t="inlineStr">
        <is>
          <t>BCPST1</t>
        </is>
      </c>
      <c r="D605" s="9" t="inlineStr">
        <is>
          <t>BCPST1 · Outils 2 – Nombres réels</t>
        </is>
      </c>
      <c r="E605" s="9" t="inlineStr">
        <is>
          <t>Propriété</t>
        </is>
      </c>
      <c r="F605" s="9" t="inlineStr">
        <is>
          <t>Manipulation des inégalités</t>
        </is>
      </c>
      <c r="G605" s="9" t="inlineStr">
        <is>
          <t>Soient $x$, $y$, $z$, $t$ des réels.</t>
        </is>
      </c>
      <c r="H605" s="10" t="inlineStr">
        <is>
          <t>Quelles opérations sur les inégalités sont permises ? Lesquelles sont interdites ?</t>
        </is>
      </c>
      <c r="I605" s="9" t="inlineStr">
        <is>
          <t>Permis : ajouter un même réel ; additionner membre à membre ($x\le y$ et $z\le t\Rightarrow x+z\le y+t$) ; multiplier par $z\ge0$ (sens conservé) ou $z\le0$ (sens inversé) ; multiplier membre à membre des inégalités entre réels positifs ($0\le x\le y$ et $0\le z\le t\Rightarrow xz\le yt$) ; passer à l'inverse entre réels strictement positifs ($0&lt;x\le y\Rightarrow\frac1x\ge\frac1y$) ; appliquer une fonction croissante (sens conservé) ou décroissante (sens inversé). Interdit : soustraire ou diviser membre à membre (on ajoute l'opposé, on multiplie par l'inverse positif).</t>
        </is>
      </c>
      <c r="J605" s="9" t="inlineStr">
        <is>
          <t>Programme Outils 2 : « Manipulation des inégalités. Il s'agit d'une simple reprise des règles de calcul algébrique sur les inégalités. »</t>
        </is>
      </c>
      <c r="K605" s="9" t="n"/>
      <c r="L605" s="9" t="inlineStr">
        <is>
          <t>Ajout d’après le cours « Les réels »</t>
        </is>
      </c>
      <c r="M605" s="11" t="n"/>
      <c r="N605" s="11" t="n"/>
    </row>
    <row r="606">
      <c r="A606" s="9" t="inlineStr">
        <is>
          <t>M606</t>
        </is>
      </c>
      <c r="B606" s="10" t="inlineStr">
        <is>
          <t>Noir – conforme</t>
        </is>
      </c>
      <c r="C606" s="9" t="inlineStr">
        <is>
          <t>BCPST1</t>
        </is>
      </c>
      <c r="D606" s="9" t="inlineStr">
        <is>
          <t>BCPST1 · Outils 2 – Nombres réels</t>
        </is>
      </c>
      <c r="E606" s="9" t="inlineStr">
        <is>
          <t>Propriété</t>
        </is>
      </c>
      <c r="F606" s="9" t="inlineStr">
        <is>
          <t>Puissances entières et racine carrée</t>
        </is>
      </c>
      <c r="G606" s="9" t="inlineStr">
        <is>
          <t>Soient $x,y\in\mathbb R^*$ et $n,m\in\mathbb Z$ (et $a,b\ge0$ pour les racines).</t>
        </is>
      </c>
      <c r="H606" s="10" t="inlineStr">
        <is>
          <t>Donner les règles de calcul sur $x^n$ et sur $\sqrt a$.</t>
        </is>
      </c>
      <c r="I606" s="9" t="inlineStr">
        <is>
          <t>$x^0=1$, $x^{-n}=\frac1{x^n}$ ; $x^nx^m=x^{n+m}$ ; $(x^n)^m=x^{nm}$ ; $(xy)^n=x^ny^n$ ; $\left(\frac xy\right)^n=\frac{x^n}{y^n}$. $\sqrt a$ est l'unique réel positif de carré $a$ ; $\sqrt{ab}=\sqrt a\sqrt b$ ; $\sqrt{a/b}=\sqrt a/\sqrt b$ ($b&gt;0$) ; pour tout réel $x$, $\sqrt{x^2}=|x|$.</t>
        </is>
      </c>
      <c r="J606" s="9" t="inlineStr">
        <is>
          <t>Programme Outils 2 : « Exposants, racine carrée … On attend une maitrise des formules $(xy)^n=x^ny^n$, $x^{n+m}=x^nx^m$, $(x^n)^m=x^{nm}$, $\sqrt{x^2}=|x|$, $\sqrt{xy}=\sqrt x\sqrt y$. »</t>
        </is>
      </c>
      <c r="K606" s="9" t="n"/>
      <c r="L606" s="9" t="inlineStr">
        <is>
          <t>Ajout d’après le cours « Les réels »</t>
        </is>
      </c>
      <c r="M606" s="11" t="n"/>
      <c r="N606" s="11" t="n"/>
    </row>
    <row r="607">
      <c r="A607" s="9" t="inlineStr">
        <is>
          <t>M607</t>
        </is>
      </c>
      <c r="B607" s="10" t="inlineStr">
        <is>
          <t>Noir – conforme</t>
        </is>
      </c>
      <c r="C607" s="9" t="inlineStr">
        <is>
          <t>BCPST1</t>
        </is>
      </c>
      <c r="D607" s="9" t="inlineStr">
        <is>
          <t>BCPST1 · Outils 2 – Nombres réels</t>
        </is>
      </c>
      <c r="E607" s="9" t="inlineStr">
        <is>
          <t>Propriété</t>
        </is>
      </c>
      <c r="F607" s="9" t="inlineStr">
        <is>
          <t>Identités remarquables</t>
        </is>
      </c>
      <c r="G607" s="9" t="inlineStr">
        <is>
          <t>Soient $a$ et $b$ deux réels.</t>
        </is>
      </c>
      <c r="H607" s="10" t="inlineStr">
        <is>
          <t>Donner les identités remarquables (carrés, différence de carrés, cubes).</t>
        </is>
      </c>
      <c r="I607" s="9" t="inlineStr">
        <is>
          <t>$(a\pm b)^2=a^2\pm2ab+b^2$ ; $a^2-b^2=(a-b)(a+b)$. Cubes : $(a\pm b)^3=a^3\pm3a^2b+3ab^2\pm b^3$ (cas $n=3$ du binôme).</t>
        </is>
      </c>
      <c r="J607" s="9" t="inlineStr">
        <is>
          <t>Programme Outils 2 : « Les attendus se limitent aux formules $(a\pm b)^2$ et $a^2-b^2$ » ; les cubes sont dans le cours et découlent du binôme de Newton.</t>
        </is>
      </c>
      <c r="K607" s="9" t="n"/>
      <c r="L607" s="9" t="inlineStr">
        <is>
          <t>Ajout d’après le cours « Les réels »</t>
        </is>
      </c>
      <c r="M607" s="11" t="n"/>
      <c r="N607" s="11" t="n"/>
    </row>
    <row r="608">
      <c r="A608" s="9" t="inlineStr">
        <is>
          <t>M608</t>
        </is>
      </c>
      <c r="B608" s="10" t="inlineStr">
        <is>
          <t>Noir – conforme</t>
        </is>
      </c>
      <c r="C608" s="9" t="inlineStr">
        <is>
          <t>BCPST1</t>
        </is>
      </c>
      <c r="D608" s="9" t="inlineStr">
        <is>
          <t>BCPST1 · Probabilités 1 – Concepts de base</t>
        </is>
      </c>
      <c r="E608" s="9" t="inlineStr">
        <is>
          <t>Définition</t>
        </is>
      </c>
      <c r="F608" s="9" t="inlineStr">
        <is>
          <t>Événements : vocabulaire ensembliste</t>
        </is>
      </c>
      <c r="G608" s="9" t="inlineStr">
        <is>
          <t>Soient $\Omega$ un univers fini et $A$, $B$ deux événements.</t>
        </is>
      </c>
      <c r="H608" s="10" t="inlineStr">
        <is>
          <t>Traduire en langage ensembliste : événement élémentaire, impossible, certain, « $A$ et $B$ », « $A$ ou $B$ », contraire de $A$, $A$ et $B$ incompatibles, « $A$ implique $B$ ».</t>
        </is>
      </c>
      <c r="I608" s="9" t="inlineStr">
        <is>
          <t>Élémentaire : singleton $\{\omega\}$ ; impossible : $\varnothing$ ; certain : $\Omega$ ; « $A$ et $B$ » : $A\cap B$ ; « $A$ ou $B$ » : $A\cup B$ ; contraire : $\bar A=\Omega\setminus A$ ; incompatibles : $A\cap B=\varnothing$ ; « $A$ implique $B$ » : $A\subset B$.</t>
        </is>
      </c>
      <c r="J608" s="9" t="inlineStr">
        <is>
          <t>Programme Probabilités 1 : « Événements. Événement certain, événement impossible, événements incompatibles. »</t>
        </is>
      </c>
      <c r="K608" s="9" t="n"/>
      <c r="L608" s="9" t="inlineStr">
        <is>
          <t>Ajout d’après le cours « Espaces probabilisés »</t>
        </is>
      </c>
      <c r="M608" s="11" t="n"/>
      <c r="N608" s="11" t="n"/>
    </row>
    <row r="609">
      <c r="A609" s="9" t="inlineStr">
        <is>
          <t>M609</t>
        </is>
      </c>
      <c r="B609" s="10" t="inlineStr">
        <is>
          <t>Noir – conforme</t>
        </is>
      </c>
      <c r="C609" s="9" t="inlineStr">
        <is>
          <t>BCPST1</t>
        </is>
      </c>
      <c r="D609" s="9" t="inlineStr">
        <is>
          <t>BCPST1 · Probabilités 1 – Concepts de base</t>
        </is>
      </c>
      <c r="E609" s="9" t="inlineStr">
        <is>
          <t>Propriété</t>
        </is>
      </c>
      <c r="F609" s="9" t="inlineStr">
        <is>
          <t>Probabilité conditionnelle : P_A est une probabilité, conditionnement</t>
        </is>
      </c>
      <c r="G609" s="9" t="inlineStr">
        <is>
          <t>Soient $A$ un événement avec $P(A)\neq0$ et $B$ un événement.</t>
        </is>
      </c>
      <c r="H609" s="10" t="inlineStr">
        <is>
          <t>Quelle structure a $P_A$ ? Donner la formule de conditionnement.</t>
        </is>
      </c>
      <c r="I609" s="9" t="inlineStr">
        <is>
          <t>$P_A:B\mapsto P_A(B)=\dfrac{P(A\cap B)}{P(A)}$ est une probabilité sur $\Omega$ (elle vérifie donc toutes les règles de calcul : $P_A(\bar B)=1-P_A(B)$, etc.). Formule de conditionnement : $P(A\cap B)=P(A)\,P_A(B)$.</t>
        </is>
      </c>
      <c r="J609" s="9" t="inlineStr">
        <is>
          <t>Programme Probabilités 1 : « $P_A$ est une probabilité. Formule de conditionnement $P(A\cap B)=P(A)P_A(B)$. »</t>
        </is>
      </c>
      <c r="K609" s="9" t="n"/>
      <c r="L609" s="9" t="inlineStr">
        <is>
          <t>Ajout d’après le cours « Espaces probabilisés »</t>
        </is>
      </c>
      <c r="M609" s="11" t="n"/>
      <c r="N609" s="11" t="n"/>
    </row>
    <row r="610">
      <c r="A610" s="9" t="inlineStr">
        <is>
          <t>M610</t>
        </is>
      </c>
      <c r="B610" s="10" t="inlineStr">
        <is>
          <t>Orange – incertain</t>
        </is>
      </c>
      <c r="C610" s="9" t="inlineStr">
        <is>
          <t>BCPST1</t>
        </is>
      </c>
      <c r="D610" s="9" t="inlineStr">
        <is>
          <t>BCPST1 · Probabilités 1 – Concepts de base</t>
        </is>
      </c>
      <c r="E610" s="9" t="inlineStr">
        <is>
          <t>Propriété</t>
        </is>
      </c>
      <c r="F610" s="9" t="inlineStr">
        <is>
          <t>Indépendance – propriétés</t>
        </is>
      </c>
      <c r="G610" s="9" t="inlineStr">
        <is>
          <t>Soient $A$, $B$ deux événements (et $A_1,\dots,A_n$ des événements).</t>
        </is>
      </c>
      <c r="H610" s="10" t="inlineStr">
        <is>
          <t>Caractériser l'indépendance de $A$ et $B$ par une probabilité conditionnelle. Que dire de $A$ et $\bar B$ ? de deux événements incompatibles ? Comment la mutuelle indépendance se transmet-elle aux contraires ?</t>
        </is>
      </c>
      <c r="I610" s="9" t="inlineStr">
        <is>
          <t>Si $P(A)\neq0$ : $A$ et $B$ indépendants $\iff P_A(B)=P(B)$. Si $A$ et $B$ sont indépendants, alors $A$ et $\bar B$, $\bar A$ et $B$, $\bar A$ et $\bar B$ le sont aussi. $\varnothing$ et $\Omega$ sont indépendants de tout événement. Deux événements incompatibles de probabilités non nulles ne sont pas indépendants. Si $A_1,\dots,A_n$ sont mutuellement indépendants, en remplaçant certains $A_i$ par leur contraire on obtient encore des événements mutuellement indépendants.</t>
        </is>
      </c>
      <c r="J610" s="9" t="inlineStr">
        <is>
          <t>Propriétés du cours ; le programme se limite aux définitions de l'indépendance.</t>
        </is>
      </c>
      <c r="K610" s="9" t="n"/>
      <c r="L610" s="9" t="inlineStr">
        <is>
          <t>Ajout d’après le cours « Espaces probabilisés »</t>
        </is>
      </c>
      <c r="M610" s="11" t="n"/>
      <c r="N610" s="11" t="n"/>
    </row>
    <row r="611">
      <c r="A611" s="9" t="inlineStr">
        <is>
          <t>M611</t>
        </is>
      </c>
      <c r="B611" s="10" t="inlineStr">
        <is>
          <t>Noir – conforme</t>
        </is>
      </c>
      <c r="C611" s="9" t="inlineStr">
        <is>
          <t>BCPST1</t>
        </is>
      </c>
      <c r="D611" s="9" t="inlineStr">
        <is>
          <t>BCPST1 · Statistique 1</t>
        </is>
      </c>
      <c r="E611" s="9" t="inlineStr">
        <is>
          <t>Définition</t>
        </is>
      </c>
      <c r="F611" s="9" t="inlineStr">
        <is>
          <t>Vocabulaire statistique</t>
        </is>
      </c>
      <c r="G611" s="9" t="inlineStr">
        <is>
          <t>On étudie une population finie.</t>
        </is>
      </c>
      <c r="H611" s="10" t="inlineStr">
        <is>
          <t>Définir : individu, taille, échantillon, caractère (qualitatif, quantitatif discret ou continu), modalités, série statistique.</t>
        </is>
      </c>
      <c r="I611" s="9" t="inlineStr">
        <is>
          <t>Population : ensemble fini d'individus ; sa taille est son nombre d'individus ; un échantillon est une partie de la population. Un caractère (ou variable statistique) $x$ associe une donnée à chaque individu : quantitatif si elle est numérique (discret : valeurs isolées ; continu : valeurs dans un intervalle, souvent regroupées en classes), qualitatif sinon. Modalités : valeurs possibles du caractère. Série statistique de taille $n$ : le $n$-uplet $(x_1,\dots,x_n)$ des valeurs observées.</t>
        </is>
      </c>
      <c r="J611" s="9" t="inlineStr">
        <is>
          <t>Programme Statistique 1 : « Caractère. Distinction entre caractères quantitatifs (discrets ou continus) et qualitatifs. Modalités d'un caractère, cas des regroupements par classes. »</t>
        </is>
      </c>
      <c r="K611" s="9" t="n"/>
      <c r="L611" s="9" t="inlineStr">
        <is>
          <t>Ajout d’après le cours « Statistiques »</t>
        </is>
      </c>
      <c r="M611" s="11" t="n"/>
      <c r="N611" s="11" t="n"/>
    </row>
    <row r="612">
      <c r="A612" s="9" t="inlineStr">
        <is>
          <t>M612</t>
        </is>
      </c>
      <c r="B612" s="10" t="inlineStr">
        <is>
          <t>Noir – conforme</t>
        </is>
      </c>
      <c r="C612" s="9" t="inlineStr">
        <is>
          <t>BCPST1</t>
        </is>
      </c>
      <c r="D612" s="9" t="inlineStr">
        <is>
          <t>BCPST1 · Statistique 1</t>
        </is>
      </c>
      <c r="E612" s="9" t="inlineStr">
        <is>
          <t>Définition</t>
        </is>
      </c>
      <c r="F612" s="9" t="inlineStr">
        <is>
          <t>Effectifs et fréquences</t>
        </is>
      </c>
      <c r="G612" s="9" t="inlineStr">
        <is>
          <t>Soit une série $(x_1,\dots,x_n)$ de modalités $a_1&lt;\dots&lt;a_k$.</t>
        </is>
      </c>
      <c r="H612" s="10" t="inlineStr">
        <is>
          <t>Définir l'effectif $n_j$ et la fréquence $f_j$ de $a_j$, ainsi que les effectifs et fréquences cumulés. Que valent $\sum n_j$ et $\sum f_j$ ?</t>
        </is>
      </c>
      <c r="I612" s="9" t="inlineStr">
        <is>
          <t>$n_j$ : nombre d'individus $i$ tels que $x_i=a_j$ ; $f_j=\dfrac{n_j}n$. Effectif (fréquence) cumulé(e) de $a_j$ : nombre (proportion) d'individus tels que $x_i\le a_j$, soit $n_1+\dots+n_j$ ($f_1+\dots+f_j$). $\sum_{j=1}^kn_j=n$ et $\sum_{j=1}^kf_j=1$.</t>
        </is>
      </c>
      <c r="J612" s="9" t="inlineStr">
        <is>
          <t>Programme Statistique 1 : « présentation dans un tableau : effectifs de chaque modalité. Effectifs cumulés, fréquences, fréquences cumulées. »</t>
        </is>
      </c>
      <c r="K612" s="9" t="n"/>
      <c r="L612" s="9" t="inlineStr">
        <is>
          <t>Ajout d’après le cours « Statistiques »</t>
        </is>
      </c>
      <c r="M612" s="11" t="n"/>
      <c r="N612" s="11" t="n"/>
    </row>
    <row r="613">
      <c r="A613" s="9" t="inlineStr">
        <is>
          <t>M613</t>
        </is>
      </c>
      <c r="B613" s="10" t="inlineStr">
        <is>
          <t>Noir – conforme</t>
        </is>
      </c>
      <c r="C613" s="9" t="inlineStr">
        <is>
          <t>BCPST1</t>
        </is>
      </c>
      <c r="D613" s="9" t="inlineStr">
        <is>
          <t>BCPST1 · Statistique 1</t>
        </is>
      </c>
      <c r="E613" s="9" t="inlineStr">
        <is>
          <t>Définition</t>
        </is>
      </c>
      <c r="F613" s="9" t="inlineStr">
        <is>
          <t>Représentations graphiques</t>
        </is>
      </c>
      <c r="G613" s="9" t="inlineStr">
        <is>
          <t>Soit une série statistique d'un caractère quantitatif.</t>
        </is>
      </c>
      <c r="H613" s="10" t="inlineStr">
        <is>
          <t>Quelles représentations graphiques utiliser (caractère discret, regroupé en classes, effectifs cumulés) ?</t>
        </is>
      </c>
      <c r="I613" s="9" t="inlineStr">
        <is>
          <t>Diagramme en bâtons (caractère discret : un bâton de hauteur $n_j$ en chaque modalité $a_j$). Histogramme (classes : rectangles dont l'aire est proportionnelle à l'effectif, donc hauteur = effectif / amplitude). Polygone des effectifs (ou fréquences) cumulés croissants, qui permet de lire médiane, quartiles et déciles. Série double : nuage de points.</t>
        </is>
      </c>
      <c r="J613" s="9" t="inlineStr">
        <is>
          <t>Programme Statistique 1 : « Représentations graphiques. Diagrammes en bâtons, histogrammes, polygones des effectifs cumulés (resp. fréquences cumulées). »</t>
        </is>
      </c>
      <c r="K613" s="9" t="n"/>
      <c r="L613" s="9" t="inlineStr">
        <is>
          <t>Ajout d’après le cours « Statistiques »</t>
        </is>
      </c>
      <c r="M613" s="11" t="n"/>
      <c r="N613" s="11" t="n"/>
    </row>
    <row r="614">
      <c r="A614" s="9" t="inlineStr">
        <is>
          <t>M614</t>
        </is>
      </c>
      <c r="B614" s="10" t="inlineStr">
        <is>
          <t>Noir – conforme</t>
        </is>
      </c>
      <c r="C614" s="9" t="inlineStr">
        <is>
          <t>BCPST1</t>
        </is>
      </c>
      <c r="D614" s="9" t="inlineStr">
        <is>
          <t>BCPST1 · Statistique 1</t>
        </is>
      </c>
      <c r="E614" s="9" t="inlineStr">
        <is>
          <t>Définition</t>
        </is>
      </c>
      <c r="F614" s="9" t="inlineStr">
        <is>
          <t>Mode et moyenne</t>
        </is>
      </c>
      <c r="G614" s="9" t="inlineStr">
        <is>
          <t>Soit une série $(x_1,\dots,x_n)$ de modalités $a_1,\dots,a_k$, d'effectifs $n_j$ et de fréquences $f_j$.</t>
        </is>
      </c>
      <c r="H614" s="10" t="inlineStr">
        <is>
          <t>Définir le mode et la moyenne $\bar x$ (à partir des observations, des effectifs, des fréquences, puis pour des classes $[b_j,c_j[$).</t>
        </is>
      </c>
      <c r="I614" s="9" t="inlineStr">
        <is>
          <t>Mode : modalité d'effectif maximal (classe modale : effectif / amplitude maximal). $\bar x=\dfrac1n\sum_{i=1}^nx_i=\dfrac1n\sum_{j=1}^kn_ja_j=\sum_{j=1}^kf_ja_j$. Pour des classes, on remplace $a_j$ par le centre $\frac{b_j+c_j}2$ (valeur approchée).</t>
        </is>
      </c>
      <c r="J614" s="9" t="inlineStr">
        <is>
          <t>Programme Statistique 1 : « Caractéristiques (empiriques) de position : mode, moyenne $\bar x$ (les calculs se font à partir des observations ou du tableau des effectifs). »</t>
        </is>
      </c>
      <c r="K614" s="9" t="n"/>
      <c r="L614" s="9" t="inlineStr">
        <is>
          <t>Ajout d’après le cours « Statistiques »</t>
        </is>
      </c>
      <c r="M614" s="11" t="n"/>
      <c r="N614" s="11" t="n"/>
    </row>
    <row r="615">
      <c r="A615" s="9" t="inlineStr">
        <is>
          <t>M615</t>
        </is>
      </c>
      <c r="B615" s="10" t="inlineStr">
        <is>
          <t>Noir – conforme</t>
        </is>
      </c>
      <c r="C615" s="9" t="inlineStr">
        <is>
          <t>BCPST1</t>
        </is>
      </c>
      <c r="D615" s="9" t="inlineStr">
        <is>
          <t>BCPST1 · Statistique 1</t>
        </is>
      </c>
      <c r="E615" s="9" t="inlineStr">
        <is>
          <t>Définition</t>
        </is>
      </c>
      <c r="F615" s="9" t="inlineStr">
        <is>
          <t>Médiane, quartiles, déciles</t>
        </is>
      </c>
      <c r="G615" s="9" t="inlineStr">
        <is>
          <t>Soit une série de taille $n$ rangée par valeurs croissantes $x_{(1)}\le\dots\le x_{(n)}$.</t>
        </is>
      </c>
      <c r="H615" s="10" t="inlineStr">
        <is>
          <t>Définir la médiane (selon la parité de $n$), puis les quartiles et déciles.</t>
        </is>
      </c>
      <c r="I615" s="9" t="inlineStr">
        <is>
          <t>Médiane : valeur telle qu'au moins la moitié des individus ont une valeur inférieure ou égale et au moins la moitié une valeur supérieure ou égale. $n$ impair : $x_{((n+1)/2)}$ (individu médian) ; $n$ pair : $\frac12\big(x_{(n/2)}+x_{(n/2+1)}\big)$. Quartiles $Q_1$, $Q_3$ (déciles $D_1$, $D_9$) : valeurs où la fréquence cumulée atteint $25\,\%$, $75\,\%$ ($10\,\%$, $90\,\%$), lues sur le polygone des fréquences cumulées.</t>
        </is>
      </c>
      <c r="J615" s="9" t="inlineStr">
        <is>
          <t>Programme Statistique 1 : « médiane … Modalité de l'individu médian ou moyenne des modalités des deux individus médians selon la parité de n » ; « quartiles, déciles (calculs à partir du polygone des effectifs cumulés ou des fréquences cumulées). »</t>
        </is>
      </c>
      <c r="K615" s="9" t="n"/>
      <c r="L615" s="9" t="inlineStr">
        <is>
          <t>Ajout d’après le cours « Statistiques »</t>
        </is>
      </c>
      <c r="M615" s="11" t="n"/>
      <c r="N615" s="11" t="n"/>
    </row>
    <row r="616">
      <c r="A616" s="9" t="inlineStr">
        <is>
          <t>M616</t>
        </is>
      </c>
      <c r="B616" s="10" t="inlineStr">
        <is>
          <t>Noir – conforme</t>
        </is>
      </c>
      <c r="C616" s="9" t="inlineStr">
        <is>
          <t>BCPST1</t>
        </is>
      </c>
      <c r="D616" s="9" t="inlineStr">
        <is>
          <t>BCPST1 · Statistique 1</t>
        </is>
      </c>
      <c r="E616" s="9" t="inlineStr">
        <is>
          <t>Définition</t>
        </is>
      </c>
      <c r="F616" s="9" t="inlineStr">
        <is>
          <t>Variance, écart-type, étendue</t>
        </is>
      </c>
      <c r="G616" s="9" t="inlineStr">
        <is>
          <t>Soit une série $(x_1,\dots,x_n)$ de moyenne $\bar x$.</t>
        </is>
      </c>
      <c r="H616" s="10" t="inlineStr">
        <is>
          <t>Définir l'étendue, la variance $s_x^2$ et l'écart-type $s_x$. Énoncer la formule de König-Huygens.</t>
        </is>
      </c>
      <c r="I616" s="9" t="inlineStr">
        <is>
          <t>Étendue : $\max x_i-\min x_i$. $s_x^2=\dfrac1n\sum_{i=1}^n(x_i-\bar x)^2$ (moyenne des carrés des écarts à la moyenne) $=\dfrac1n\sum_jn_j(a_j-\bar x)^2$ ; $s_x=\sqrt{s_x^2}$. König-Huygens : $s_x^2=\overline{x^2}-\bar x^2=\dfrac1n\sum x_i^2-\bar x^2$.</t>
        </is>
      </c>
      <c r="J616" s="9" t="inlineStr">
        <is>
          <t>Programme Statistique 1 : « Caractéristiques (empiriques) de dispersion : variance $s_x^2$ et écart-type $s_x$. La formule avec le facteur $\frac1{n-1}$ n'est pas un attendu du programme. »</t>
        </is>
      </c>
      <c r="K616" s="9" t="n"/>
      <c r="L616" s="9" t="inlineStr">
        <is>
          <t>Ajout d’après le cours « Statistiques »</t>
        </is>
      </c>
      <c r="M616" s="11" t="n"/>
      <c r="N616" s="11" t="n"/>
    </row>
    <row r="617">
      <c r="A617" s="9" t="inlineStr">
        <is>
          <t>M617</t>
        </is>
      </c>
      <c r="B617" s="10" t="inlineStr">
        <is>
          <t>Orange – incertain</t>
        </is>
      </c>
      <c r="C617" s="9" t="inlineStr">
        <is>
          <t>BCPST1</t>
        </is>
      </c>
      <c r="D617" s="9" t="inlineStr">
        <is>
          <t>BCPST1 · Statistique 1</t>
        </is>
      </c>
      <c r="E617" s="9" t="inlineStr">
        <is>
          <t>Propriété</t>
        </is>
      </c>
      <c r="F617" s="9" t="inlineStr">
        <is>
          <t>Changement affine de caractère</t>
        </is>
      </c>
      <c r="G617" s="9" t="inlineStr">
        <is>
          <t>Soient $(a,b)\in\mathbb R^2$ et $y_i=ax_i+b$ pour tout $i$.</t>
        </is>
      </c>
      <c r="H617" s="10" t="inlineStr">
        <is>
          <t>Exprimer $\bar y$, $s_y^2$ et $s_y$ en fonction de ceux de $x$.</t>
        </is>
      </c>
      <c r="I617" s="9" t="inlineStr">
        <is>
          <t>$\bar y=a\bar x+b$ ; $s_y^2=a^2s_x^2$ ; $s_y=|a|s_x$ (une translation ne change pas la dispersion).</t>
        </is>
      </c>
      <c r="J617" s="9" t="inlineStr">
        <is>
          <t>Propriétés du cours ; non citées par le programme.</t>
        </is>
      </c>
      <c r="K617" s="9" t="n"/>
      <c r="L617" s="9" t="inlineStr">
        <is>
          <t>Ajout d’après le cours « Statistiques »</t>
        </is>
      </c>
      <c r="M617" s="11" t="n"/>
      <c r="N617" s="11" t="n"/>
    </row>
    <row r="618">
      <c r="A618" s="9" t="inlineStr">
        <is>
          <t>M618</t>
        </is>
      </c>
      <c r="B618" s="10" t="inlineStr">
        <is>
          <t>Noir – conforme</t>
        </is>
      </c>
      <c r="C618" s="9" t="inlineStr">
        <is>
          <t>BCPST1</t>
        </is>
      </c>
      <c r="D618" s="9" t="inlineStr">
        <is>
          <t>BCPST1 · Statistique 1</t>
        </is>
      </c>
      <c r="E618" s="9" t="inlineStr">
        <is>
          <t>Définition</t>
        </is>
      </c>
      <c r="F618" s="9" t="inlineStr">
        <is>
          <t>Série double : point moyen et covariance</t>
        </is>
      </c>
      <c r="G618" s="9" t="inlineStr">
        <is>
          <t>Soit une série double $((x_1,y_1),\dots,(x_n,y_n))$.</t>
        </is>
      </c>
      <c r="H618" s="10" t="inlineStr">
        <is>
          <t>Définir le point moyen du nuage et la covariance $s_{xy}$. Énoncer la formule de König-Huygens pour la covariance.</t>
        </is>
      </c>
      <c r="I618" s="9" t="inlineStr">
        <is>
          <t>Point moyen : $G(\bar x,\bar y)$. $s_{xy}=\dfrac1n\sum_{i=1}^n(x_i-\bar x)(y_i-\bar y)$. König-Huygens : $s_{xy}=\overline{xy}-\bar x\,\bar y=\dfrac1n\sum x_iy_i-\bar x\bar y$ (moyenne du produit moins produit des moyennes). $s_{xx}=s_x^2$.</t>
        </is>
      </c>
      <c r="J618" s="9" t="inlineStr">
        <is>
          <t>Programme Statistique 1 : « Représentation par un nuage de points de ℝ². Point moyen $(\bar x,\bar y)$ du nuage. Caractéristiques d'une série statistique double : covariance $s_{xy}$. »</t>
        </is>
      </c>
      <c r="K618" s="9" t="n"/>
      <c r="L618" s="9" t="inlineStr">
        <is>
          <t>Ajout d’après le cours « Statistiques »</t>
        </is>
      </c>
      <c r="M618" s="11" t="n"/>
      <c r="N618" s="11" t="n"/>
    </row>
    <row r="619">
      <c r="A619" s="9" t="inlineStr">
        <is>
          <t>M619</t>
        </is>
      </c>
      <c r="B619" s="10" t="inlineStr">
        <is>
          <t>Noir – conforme</t>
        </is>
      </c>
      <c r="C619" s="9" t="inlineStr">
        <is>
          <t>BCPST1</t>
        </is>
      </c>
      <c r="D619" s="9" t="inlineStr">
        <is>
          <t>BCPST1 · Statistique 1</t>
        </is>
      </c>
      <c r="E619" s="9" t="inlineStr">
        <is>
          <t>Définition</t>
        </is>
      </c>
      <c r="F619" s="9" t="inlineStr">
        <is>
          <t>Coefficient de corrélation linéaire</t>
        </is>
      </c>
      <c r="G619" s="9" t="inlineStr">
        <is>
          <t>Soit une série double de caractères $x$, $y$ non constants.</t>
        </is>
      </c>
      <c r="H619" s="10" t="inlineStr">
        <is>
          <t>Définir $r_{xy}$. Quelles sont ses valeurs possibles et son interprétation ?</t>
        </is>
      </c>
      <c r="I619" s="9" t="inlineStr">
        <is>
          <t>$r_{xy}=\dfrac{s_{xy}}{s_xs_y}$, sans unité, avec $-1\le r_{xy}\le1$. $|r_{xy}|$ proche de $1$ : nuage presque aligné (relation presque affine), droite de pente du signe de $r_{xy}$ ; $r_{xy}$ proche de $0$ : pas de lien affine (il peut exister un lien non affine).</t>
        </is>
      </c>
      <c r="J619" s="9" t="inlineStr">
        <is>
          <t>Programme Statistique 1 : « coefficient de corrélation $r_{xy}$ ».</t>
        </is>
      </c>
      <c r="K619" s="9" t="n"/>
      <c r="L619" s="9" t="inlineStr">
        <is>
          <t>Ajout d’après le cours « Statistiques »</t>
        </is>
      </c>
      <c r="M619" s="11" t="n"/>
      <c r="N619" s="11" t="n"/>
    </row>
    <row r="620">
      <c r="A620" s="9" t="inlineStr">
        <is>
          <t>M620</t>
        </is>
      </c>
      <c r="B620" s="10" t="inlineStr">
        <is>
          <t>Noir – conforme</t>
        </is>
      </c>
      <c r="C620" s="9" t="inlineStr">
        <is>
          <t>BCPST1</t>
        </is>
      </c>
      <c r="D620" s="9" t="inlineStr">
        <is>
          <t>BCPST1 · Statistique 1</t>
        </is>
      </c>
      <c r="E620" s="9" t="inlineStr">
        <is>
          <t>Théorème</t>
        </is>
      </c>
      <c r="F620" s="9" t="inlineStr">
        <is>
          <t>Ajustement affine par les moindres carrés</t>
        </is>
      </c>
      <c r="G620" s="9" t="inlineStr">
        <is>
          <t>Soit une série double $(x_i,y_i)_{1\le i\le n}$ avec $x$ non constant.</t>
        </is>
      </c>
      <c r="H620" s="10" t="inlineStr">
        <is>
          <t>Quelle est la droite de régression de $y$ en $x$ ? Que faire si le nuage n'est pas allongé selon une droite ?</t>
        </is>
      </c>
      <c r="I620" s="9" t="inlineStr">
        <is>
          <t>La droite $y=ax+b$ qui minimise $\sum_{i=1}^n\big(y_i-(ax_i+b)\big)^2$ a pour coefficients $a=\dfrac{s_{xy}}{s_x^2}$ et $b=\bar y-a\bar x$ : elle passe par le point moyen $G(\bar x,\bar y)$. Si le nuage n'est pas « affine », on change de variable (par exemple $z=\ln y$ pour une croissance exponentielle) avant d'ajuster.</t>
        </is>
      </c>
      <c r="J620" s="9" t="inlineStr">
        <is>
          <t>Programme Statistique 1 : « Approche descriptive de l'ajustement affine selon la méthode des moindres carrés. L'optimalité de l'ajustement est admise » ; « changements de variables ».</t>
        </is>
      </c>
      <c r="K620" s="9" t="n"/>
      <c r="L620" s="9" t="inlineStr">
        <is>
          <t>Ajout d’après le cours « Statistiques »</t>
        </is>
      </c>
      <c r="M620" s="11" t="n"/>
      <c r="N620" s="11" t="n"/>
    </row>
    <row r="621">
      <c r="A621" s="9" t="inlineStr">
        <is>
          <t>M621</t>
        </is>
      </c>
      <c r="B621" s="10" t="inlineStr">
        <is>
          <t>Noir – conforme</t>
        </is>
      </c>
      <c r="C621" s="9" t="inlineStr">
        <is>
          <t>BCPST1</t>
        </is>
      </c>
      <c r="D621" s="9" t="inlineStr">
        <is>
          <t>BCPST1 · Outils 3 – Trigonométrie</t>
        </is>
      </c>
      <c r="E621" s="9" t="inlineStr">
        <is>
          <t>Méthode</t>
        </is>
      </c>
      <c r="F621" s="9" t="inlineStr">
        <is>
          <t>Équations trigonométriques cos x = c, sin x = s, tan x = t</t>
        </is>
      </c>
      <c r="G621" s="9" t="inlineStr">
        <is>
          <t>Soient $a$ un réel et $x$ l'inconnue réelle.</t>
        </is>
      </c>
      <c r="H621" s="10" t="inlineStr">
        <is>
          <t>Résoudre $\cos x=\cos a$, $\sin x=\sin a$, $\tan x=\tan a$. Comment exprimer une solution de $\cos x=c$, $\sin x=s$, $\tan x=t$ ?</t>
        </is>
      </c>
      <c r="I621" s="9" t="inlineStr">
        <is>
          <t>$\cos x=\cos a\iff x\equiv a\ [2\pi]$ ou $x\equiv-a\ [2\pi]$ ; $\sin x=\sin a\iff x\equiv a\ [2\pi]$ ou $x\equiv\pi-a\ [2\pi]$ ; $\tan x=\tan a\iff x\equiv a\ [\pi]$ (avec $x,a\not\equiv\frac\pi2\ [\pi]$). Pour $c\in[-1,1]$, $\arccos c$ est l'unique solution de $\cos x=c$ dans $[0,\pi]$ ; pour $s\in[-1,1]$, $\arcsin s$ l'unique solution de $\sin x=s$ dans $[-\frac\pi2,\frac\pi2]$ ; pour $t\in\mathbb R$, $\arctan t$ l'unique solution de $\tan x=t$ dans $]-\frac\pi2,\frac\pi2[$.</t>
        </is>
      </c>
      <c r="J621" s="9" t="inlineStr">
        <is>
          <t>Programme Outils 3 : « Résolution d'équations trigonométriques simples : cos(x) = c, sin(x) = s et tan(x) = t. Notations arccos, arcsin, arctan … définitions en termes de solutions d'équations dans certains intervalles. »</t>
        </is>
      </c>
      <c r="K621" s="9" t="n"/>
      <c r="L621" s="9" t="inlineStr">
        <is>
          <t>Ajout d’après le TD « Trigonométrie »</t>
        </is>
      </c>
      <c r="M621" s="11" t="n"/>
      <c r="N621" s="11" t="n"/>
    </row>
    <row r="622">
      <c r="A622" s="9" t="inlineStr">
        <is>
          <t>M622</t>
        </is>
      </c>
      <c r="B622" s="10" t="inlineStr">
        <is>
          <t>Noir – conforme</t>
        </is>
      </c>
      <c r="C622" s="9" t="inlineStr">
        <is>
          <t>BCPST1</t>
        </is>
      </c>
      <c r="D622" s="9" t="inlineStr">
        <is>
          <t>BCPST1 · Probabilités 2 – Variables sur un univers fini</t>
        </is>
      </c>
      <c r="E622" s="9" t="inlineStr">
        <is>
          <t>Définition</t>
        </is>
      </c>
      <c r="F622" s="9" t="inlineStr">
        <is>
          <t>Variable aléatoire finie et sa loi</t>
        </is>
      </c>
      <c r="G622" s="9" t="inlineStr">
        <is>
          <t>Soit $(\Omega,P)$ un espace probabilisé fini.</t>
        </is>
      </c>
      <c r="H622" s="10" t="inlineStr">
        <is>
          <t>Qu'est-ce qu'une variable aléatoire $X$ sur $\Omega$ ? Que désignent $(X\in I)$, $(X=x)$ ? Qu'est-ce que la loi de $X$ ?</t>
        </is>
      </c>
      <c r="I622" s="9" t="inlineStr">
        <is>
          <t>Une application $X:\Omega\to\mathbb R$. $(X\in I)=\{\omega\in\Omega,\ X(\omega)\in I\}$, $(X=x)$, $(X\le x)$… sont des événements. La famille $(X=x)_{x\in X(\Omega)}$ est un système complet d'événements. Loi de $X$ : la donnée de $X(\Omega)$ et des $P(X=x)$, $x\in X(\Omega)$, avec $\sum_{x\in X(\Omega)}P(X=x)=1$.</t>
        </is>
      </c>
      <c r="J622" s="9" t="inlineStr">
        <is>
          <t>Programme Probabilités 2 : « On nomme variable aléatoire sur un univers Ω (fini) toute application de Ω dans ℝ » ; « Système complet d'événements $(X=x)$ » ; « La loi … est l'application $x\mapsto P(X=x)$. »</t>
        </is>
      </c>
      <c r="K622" s="9" t="n"/>
      <c r="L622" s="9" t="inlineStr">
        <is>
          <t>Ajout d’après le cours « Variables aléatoires »</t>
        </is>
      </c>
      <c r="M622" s="11" t="n"/>
      <c r="N622" s="11" t="n"/>
    </row>
    <row r="623">
      <c r="A623" s="9" t="inlineStr">
        <is>
          <t>M623</t>
        </is>
      </c>
      <c r="B623" s="10" t="inlineStr">
        <is>
          <t>Noir – conforme</t>
        </is>
      </c>
      <c r="C623" s="9" t="inlineStr">
        <is>
          <t>BCPST1</t>
        </is>
      </c>
      <c r="D623" s="9" t="inlineStr">
        <is>
          <t>BCPST1 · Probabilités 2 – Variables sur un univers fini</t>
        </is>
      </c>
      <c r="E623" s="9" t="inlineStr">
        <is>
          <t>Définition</t>
        </is>
      </c>
      <c r="F623" s="9" t="inlineStr">
        <is>
          <t>Variables indicatrices</t>
        </is>
      </c>
      <c r="G623" s="9" t="inlineStr">
        <is>
          <t>Soient $A$ et $B$ deux événements de $\Omega$.</t>
        </is>
      </c>
      <c r="H623" s="10" t="inlineStr">
        <is>
          <t>Définir $\mathbb 1_A$. Exprimer $\mathbb 1_{A\cap B}$, $\mathbb 1_{\bar A}$, $\mathbb 1_{A\cup B}$. Quelle est la loi de $\mathbb 1_A$ et son espérance ?</t>
        </is>
      </c>
      <c r="I623" s="9" t="inlineStr">
        <is>
          <t>$\mathbb 1_A(\omega)=1$ si $\omega\in A$, $0$ sinon. $\mathbb 1_{A\cap B}=\mathbb 1_A\mathbb 1_B=\min(\mathbb 1_A,\mathbb 1_B)$ ; $\mathbb 1_{\bar A}=1-\mathbb 1_A$ ; $\mathbb 1_{A\cup B}=\max(\mathbb 1_A,\mathbb 1_B)=\mathbb 1_A+\mathbb 1_B-\mathbb 1_A\mathbb 1_B$. $\mathbb 1_A\sim\mathcal B(P(A))$, donc $E(\mathbb 1_A)=P(A)$.</t>
        </is>
      </c>
      <c r="J623" s="9" t="inlineStr">
        <is>
          <t>Programme Probabilités 2 : « Exemple des fonctions indicatrices. Notation $\mathbb 1_A$. Règles de calcul : intersection, union, complémentaire » ; « $E(\mathbb 1_A)=P(A)$ ».</t>
        </is>
      </c>
      <c r="K623" s="9" t="n"/>
      <c r="L623" s="9" t="inlineStr">
        <is>
          <t>Ajout d’après le cours « Variables aléatoires »</t>
        </is>
      </c>
      <c r="M623" s="11" t="n"/>
      <c r="N623" s="11" t="n"/>
    </row>
    <row r="624">
      <c r="A624" s="9" t="inlineStr">
        <is>
          <t>M624</t>
        </is>
      </c>
      <c r="B624" s="10" t="inlineStr">
        <is>
          <t>Noir – conforme</t>
        </is>
      </c>
      <c r="C624" s="9" t="inlineStr">
        <is>
          <t>BCPST1</t>
        </is>
      </c>
      <c r="D624" s="9" t="inlineStr">
        <is>
          <t>BCPST1 · Probabilités 2 – Variables sur un univers fini</t>
        </is>
      </c>
      <c r="E624" s="9" t="inlineStr">
        <is>
          <t>Définition</t>
        </is>
      </c>
      <c r="F624" s="9" t="inlineStr">
        <is>
          <t>Fonction de répartition d’une variable finie</t>
        </is>
      </c>
      <c r="G624" s="9" t="inlineStr">
        <is>
          <t>Soit $X$ une variable aléatoire finie.</t>
        </is>
      </c>
      <c r="H624" s="10" t="inlineStr">
        <is>
          <t>Définir $F_X$. Quelle est son allure ? Comment retrouver la loi de $X$ à partir de $F_X$ ?</t>
        </is>
      </c>
      <c r="I624" s="9" t="inlineStr">
        <is>
          <t>$F_X(t)=P(X\le t)=\sum_{x\in X(\Omega),\,x\le t}P(X=x)$ pour $t\in\mathbb R$. C'est une fonction en escalier croissante, nulle avant la plus petite valeur, égale à $1$ après la plus grande ; elle saute en chaque $x\in X(\Omega)$ d'une hauteur $P(X=x)$. Si $x_1&lt;\dots&lt;x_n$ sont les valeurs : $P(X=x_1)=F_X(x_1)$, $P(X=x_i)=F_X(x_i)-F_X(x_{i-1})$ ; $P(a&lt;X\le b)=F_X(b)-F_X(a)$.</t>
        </is>
      </c>
      <c r="J624" s="9" t="inlineStr">
        <is>
          <t>Programme Probabilités 2 : « La fonction de répartition de $X$ … $F_X(t)=P(X\le t)$ … représentation en escaliers. Les étudiants doivent savoir déterminer la loi d'une variable aléatoire à partir de sa fonction de répartition. »</t>
        </is>
      </c>
      <c r="K624" s="9" t="n"/>
      <c r="L624" s="9" t="inlineStr">
        <is>
          <t>Ajout d’après le cours « Variables aléatoires »</t>
        </is>
      </c>
      <c r="M624" s="11" t="n"/>
      <c r="N624" s="11" t="n"/>
    </row>
    <row r="625">
      <c r="A625" s="9" t="inlineStr">
        <is>
          <t>M625</t>
        </is>
      </c>
      <c r="B625" s="10" t="inlineStr">
        <is>
          <t>Noir – conforme</t>
        </is>
      </c>
      <c r="C625" s="9" t="inlineStr">
        <is>
          <t>BCPST1</t>
        </is>
      </c>
      <c r="D625" s="9" t="inlineStr">
        <is>
          <t>BCPST1 · Probabilités 2 – Variables sur un univers fini</t>
        </is>
      </c>
      <c r="E625" s="9" t="inlineStr">
        <is>
          <t>Propriété</t>
        </is>
      </c>
      <c r="F625" s="9" t="inlineStr">
        <is>
          <t>Espérance : définition et propriétés</t>
        </is>
      </c>
      <c r="G625" s="9" t="inlineStr">
        <is>
          <t>Soient $X$, $Y$ des variables aléatoires finies, $a,b\in\mathbb R$ et $u$ une fonction définie sur $X(\Omega)$.</t>
        </is>
      </c>
      <c r="H625" s="10" t="inlineStr">
        <is>
          <t>Définir $E(X)$. Donner ses propriétés (linéarité, positivité, croissance) et le théorème de transfert.</t>
        </is>
      </c>
      <c r="I625" s="9" t="inlineStr">
        <is>
          <t>$E(X)=\sum_{x\in X(\Omega)}xP(X=x)$ (moyenne des valeurs pondérée par leurs probabilités). Linéarité : $E(aX+bY)=aE(X)+bE(Y)$ ; positivité : $X\ge0\Rightarrow E(X)\ge0$ ; croissance : $X\le Y\Rightarrow E(X)\le E(Y)$. Transfert : $E(u(X))=\sum_{x\in X(\Omega)}u(x)P(X=x)$ (ex. $E(X^2)=\sum x^2P(X=x)$). $X$ est centrée si $E(X)=0$.</t>
        </is>
      </c>
      <c r="J625" s="9" t="inlineStr">
        <is>
          <t>Programme Probabilités 2 : « Espérance … variable aléatoire centrée. On démontre que l'espérance est positive et croissante. La linéarité est énoncée » ; « Théorème de transfert. »</t>
        </is>
      </c>
      <c r="K625" s="9" t="n"/>
      <c r="L625" s="9" t="inlineStr">
        <is>
          <t>Ajout d’après le cours « Variables aléatoires »</t>
        </is>
      </c>
      <c r="M625" s="11" t="n"/>
      <c r="N625" s="11" t="n"/>
    </row>
    <row r="626">
      <c r="A626" s="9" t="inlineStr">
        <is>
          <t>M626</t>
        </is>
      </c>
      <c r="B626" s="10" t="inlineStr">
        <is>
          <t>Noir – conforme</t>
        </is>
      </c>
      <c r="C626" s="9" t="inlineStr">
        <is>
          <t>BCPST1</t>
        </is>
      </c>
      <c r="D626" s="9" t="inlineStr">
        <is>
          <t>BCPST1 · Probabilités 2 – Variables sur un univers fini</t>
        </is>
      </c>
      <c r="E626" s="9" t="inlineStr">
        <is>
          <t>Définition</t>
        </is>
      </c>
      <c r="F626" s="9" t="inlineStr">
        <is>
          <t>Variance, écart-type, variable centrée réduite</t>
        </is>
      </c>
      <c r="G626" s="9" t="inlineStr">
        <is>
          <t>Soit $X$ une variable aléatoire finie.</t>
        </is>
      </c>
      <c r="H626" s="10" t="inlineStr">
        <is>
          <t>Définir $V(X)$ et $\sigma(X)$. Énoncer la formule de König-Huygens. Qu'est-ce qu'une variable centrée réduite ?</t>
        </is>
      </c>
      <c r="I626" s="9" t="inlineStr">
        <is>
          <t>$V(X)=E\big((X-E(X))^2\big)=\sum_x(x-E(X))^2P(X=x)\ge0$ ; $\sigma(X)=\sqrt{V(X)}$ (même unité que $X$). König-Huygens : $V(X)=E(X^2)-E(X)^2$. $V(aX+b)=a^2V(X)$. Centrée réduite : $E(X)=0$ et $V(X)=1$ ; si $\sigma(X)&gt;0$, $\dfrac{X-E(X)}{\sigma(X)}$ est centrée réduite.</t>
        </is>
      </c>
      <c r="J626" s="9" t="inlineStr">
        <is>
          <t>Programme Probabilités 2 : « Moments. Variance V(X). Formule de König-Huygens. Écart-type σ(X). V(aX+b)=a²V(X). Variable centrée réduite. »</t>
        </is>
      </c>
      <c r="K626" s="9" t="n"/>
      <c r="L626" s="9" t="inlineStr">
        <is>
          <t>Ajout d’après le cours « Variables aléatoires »</t>
        </is>
      </c>
      <c r="M626" s="11" t="n"/>
      <c r="N626" s="11" t="n"/>
    </row>
    <row r="627">
      <c r="A627" s="9" t="inlineStr">
        <is>
          <t>M627</t>
        </is>
      </c>
      <c r="B627" s="10" t="inlineStr">
        <is>
          <t>Noir – conforme</t>
        </is>
      </c>
      <c r="C627" s="9" t="inlineStr">
        <is>
          <t>BCPST1</t>
        </is>
      </c>
      <c r="D627" s="9" t="inlineStr">
        <is>
          <t>BCPST1 · Probabilités 2 – Variables sur un univers fini</t>
        </is>
      </c>
      <c r="E627" s="9" t="inlineStr">
        <is>
          <t>Définition</t>
        </is>
      </c>
      <c r="F627" s="9" t="inlineStr">
        <is>
          <t>Indépendance de variables aléatoires finies</t>
        </is>
      </c>
      <c r="G627" s="9" t="inlineStr">
        <is>
          <t>Soient $X$, $Y$ (et $X_1,\dots,X_n$) des variables aléatoires finies sur $\Omega$.</t>
        </is>
      </c>
      <c r="H627" s="10" t="inlineStr">
        <is>
          <t>Définir l'indépendance de $X$ et $Y$, puis l'indépendance mutuelle de $X_1,\dots,X_n$. Que vaut alors $E(XY)$, $V(X+Y)$ ?</t>
        </is>
      </c>
      <c r="I627" s="9" t="inlineStr">
        <is>
          <t>$X$ et $Y$ indépendantes : $\forall(x,y)\in X(\Omega)\times Y(\Omega)$, $P\big((X=x)\cap(Y=y)\big)=P(X=x)P(Y=y)$. Mutuellement indépendantes : $P\big(\bigcap_i(X_i=x_i)\big)=\prod_iP(X_i=x_i)$ pour tous $x_i\in X_i(\Omega)$. Si $X$, $Y$ indépendantes : $E(XY)=E(X)E(Y)$ et $V(X+Y)=V(X)+V(Y)$ ; plus généralement $V(X_1+\dots+X_n)=\sum V(X_i)$ si les $X_i$ sont indépendantes.</t>
        </is>
      </c>
      <c r="J627" s="9" t="inlineStr">
        <is>
          <t>Programme Probabilités 2 : « Indépendance de deux variables aléatoires » ; « Généralisation : indépendance (mutuelle) de n variables aléatoires » ; « Si X et Y sont indépendantes, espérance de XY et variance de X+Y. Généralisation au cas de n variables. »</t>
        </is>
      </c>
      <c r="K627" s="9" t="n"/>
      <c r="L627" s="9" t="inlineStr">
        <is>
          <t>Ajout d’après le cours « Variables aléatoires »</t>
        </is>
      </c>
      <c r="M627" s="11" t="n"/>
      <c r="N627" s="11" t="n"/>
    </row>
    <row r="628">
      <c r="A628" s="9" t="inlineStr">
        <is>
          <t>M628</t>
        </is>
      </c>
      <c r="B628" s="10" t="inlineStr">
        <is>
          <t>Noir – conforme</t>
        </is>
      </c>
      <c r="C628" s="9" t="inlineStr">
        <is>
          <t>BCPST1</t>
        </is>
      </c>
      <c r="D628" s="9" t="inlineStr">
        <is>
          <t>BCPST1 · Probabilités 2 – Variables sur un univers fini</t>
        </is>
      </c>
      <c r="E628" s="9" t="inlineStr">
        <is>
          <t>Propriété</t>
        </is>
      </c>
      <c r="F628" s="9" t="inlineStr">
        <is>
          <t>Sous-familles et lemme des coalitions</t>
        </is>
      </c>
      <c r="G628" s="9" t="inlineStr">
        <is>
          <t>Soient $X_1,\dots,X_n,X_{n+1},\dots,X_{n+p}$ des variables aléatoires mutuellement indépendantes.</t>
        </is>
      </c>
      <c r="H628" s="10" t="inlineStr">
        <is>
          <t>Que dire d'une sous-famille ? Énoncer le lemme des coalitions.</t>
        </is>
      </c>
      <c r="I628" s="9" t="inlineStr">
        <is>
          <t>Toute sous-famille est formée de variables mutuellement indépendantes. Lemme des coalitions : $u(X_1,\dots,X_n)$ et $v(X_{n+1},\dots,X_{n+p})$ sont indépendantes ; plus généralement $u_1(X_1),\dots,u_n(X_n)$ sont mutuellement indépendantes.</t>
        </is>
      </c>
      <c r="J628" s="9" t="inlineStr">
        <is>
          <t>Programme Probabilités 2 : « Propriétés de l'indépendance mutuelle (admises) : toute sous-famille … ; lemme des coalitions. »</t>
        </is>
      </c>
      <c r="K628" s="9" t="n"/>
      <c r="L628" s="9" t="inlineStr">
        <is>
          <t>Ajout d’après le cours « Variables aléatoires »</t>
        </is>
      </c>
      <c r="M628" s="11" t="n"/>
      <c r="N628" s="11" t="n"/>
    </row>
  </sheetData>
  <autoFilter ref="A1:N461"/>
  <dataValidations count="1">
    <dataValidation sqref="M2:M628"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row r="61">
      <c r="A61" s="12" t="inlineStr">
        <is>
          <t>F060</t>
        </is>
      </c>
      <c r="B61" s="13" t="inlineStr">
        <is>
          <t>Noir – conforme</t>
        </is>
      </c>
      <c r="C61" s="12" t="inlineStr">
        <is>
          <t>Primitives usuelles</t>
        </is>
      </c>
      <c r="D61" s="12" t="inlineStr">
        <is>
          <t>Primitive de $u'e^u$</t>
        </is>
      </c>
      <c r="E61" s="12" t="inlineStr">
        <is>
          <t>Soit $u$ une fonction de classe $\mathcal C^1$ sur un intervalle $I$.</t>
        </is>
      </c>
      <c r="F61" s="13" t="inlineStr">
        <is>
          <t>Donner une primitive de $u'e^u$.</t>
        </is>
      </c>
      <c r="G61" s="12" t="inlineStr">
        <is>
          <t>$e^u$</t>
        </is>
      </c>
      <c r="H61" s="12" t="inlineStr">
        <is>
          <t>Analyse 3 : « Primitives de u′eᵘ, u′uⁿ, u′/u, u′/√u, u′ sin u, u′ cos u. »</t>
        </is>
      </c>
      <c r="I61" s="12" t="n"/>
      <c r="J61" s="12" t="n"/>
      <c r="K61" s="12" t="inlineStr">
        <is>
          <t>Ajout d’après le cours « Intégration » (formes composées citées par le programme)</t>
        </is>
      </c>
      <c r="L61" s="14" t="n"/>
      <c r="M61" s="14" t="n"/>
    </row>
    <row r="62">
      <c r="A62" s="12" t="inlineStr">
        <is>
          <t>F061</t>
        </is>
      </c>
      <c r="B62" s="13" t="inlineStr">
        <is>
          <t>Noir – conforme</t>
        </is>
      </c>
      <c r="C62" s="12" t="inlineStr">
        <is>
          <t>Primitives usuelles</t>
        </is>
      </c>
      <c r="D62" s="12" t="inlineStr">
        <is>
          <t>Primitive de $u'u^n$ ($n\neq-1$)</t>
        </is>
      </c>
      <c r="E62" s="12" t="inlineStr">
        <is>
          <t>Soit $u$ une fonction de classe $\mathcal C^1$ sur un intervalle $I$, et $n\in\mathbb Z\setminus\{-1\}$ ($u$ ne s'annule pas sur $I$ si $n&lt;0$).</t>
        </is>
      </c>
      <c r="F62" s="13" t="inlineStr">
        <is>
          <t>Donner une primitive de $u'u^n$.</t>
        </is>
      </c>
      <c r="G62" s="12" t="inlineStr">
        <is>
          <t>$\dfrac{u^{n+1}}{n+1}$</t>
        </is>
      </c>
      <c r="H62" s="12" t="inlineStr">
        <is>
          <t>Analyse 3 : « Primitives de u′eᵘ, u′uⁿ, u′/u, u′/√u, u′ sin u, u′ cos u. »</t>
        </is>
      </c>
      <c r="I62" s="12" t="n"/>
      <c r="J62" s="12" t="n"/>
      <c r="K62" s="12" t="inlineStr">
        <is>
          <t>Ajout d’après le cours « Intégration » (formes composées citées par le programme)</t>
        </is>
      </c>
      <c r="L62" s="14" t="n"/>
      <c r="M62" s="14" t="n"/>
    </row>
    <row r="63">
      <c r="A63" s="12" t="inlineStr">
        <is>
          <t>F062</t>
        </is>
      </c>
      <c r="B63" s="13" t="inlineStr">
        <is>
          <t>Noir – conforme</t>
        </is>
      </c>
      <c r="C63" s="12" t="inlineStr">
        <is>
          <t>Primitives usuelles</t>
        </is>
      </c>
      <c r="D63" s="12" t="inlineStr">
        <is>
          <t>Primitive de $\dfrac{u'}u$</t>
        </is>
      </c>
      <c r="E63" s="12" t="inlineStr">
        <is>
          <t>Soit $u$ une fonction de classe $\mathcal C^1$ sur un intervalle $I$ ne s'annulant pas sur $I$.</t>
        </is>
      </c>
      <c r="F63" s="13" t="inlineStr">
        <is>
          <t>Donner une primitive de $\dfrac{u'}u$.</t>
        </is>
      </c>
      <c r="G63" s="12" t="inlineStr">
        <is>
          <t>$\ln|u|$</t>
        </is>
      </c>
      <c r="H63" s="12" t="inlineStr">
        <is>
          <t>Analyse 3 : « Primitives de u′eᵘ, u′uⁿ, u′/u, u′/√u, u′ sin u, u′ cos u. »</t>
        </is>
      </c>
      <c r="I63" s="12" t="n"/>
      <c r="J63" s="12" t="n"/>
      <c r="K63" s="12" t="inlineStr">
        <is>
          <t>Ajout d’après le cours « Intégration » (formes composées citées par le programme)</t>
        </is>
      </c>
      <c r="L63" s="14" t="n"/>
      <c r="M63" s="14" t="n"/>
    </row>
    <row r="64">
      <c r="A64" s="12" t="inlineStr">
        <is>
          <t>F063</t>
        </is>
      </c>
      <c r="B64" s="13" t="inlineStr">
        <is>
          <t>Noir – conforme</t>
        </is>
      </c>
      <c r="C64" s="12" t="inlineStr">
        <is>
          <t>Primitives usuelles</t>
        </is>
      </c>
      <c r="D64" s="12" t="inlineStr">
        <is>
          <t>Primitive de $\dfrac{u'}{\sqrt u}$</t>
        </is>
      </c>
      <c r="E64" s="12" t="inlineStr">
        <is>
          <t>Soit $u$ une fonction de classe $\mathcal C^1$ sur un intervalle $I$, avec $u&gt;0$ sur $I$.</t>
        </is>
      </c>
      <c r="F64" s="13" t="inlineStr">
        <is>
          <t>Donner une primitive de $\dfrac{u'}{\sqrt u}$.</t>
        </is>
      </c>
      <c r="G64" s="12" t="inlineStr">
        <is>
          <t>$2\sqrt u$</t>
        </is>
      </c>
      <c r="H64" s="12" t="inlineStr">
        <is>
          <t>Analyse 3 : « Primitives de u′eᵘ, u′uⁿ, u′/u, u′/√u, u′ sin u, u′ cos u. »</t>
        </is>
      </c>
      <c r="I64" s="12" t="n"/>
      <c r="J64" s="12" t="n"/>
      <c r="K64" s="12" t="inlineStr">
        <is>
          <t>Ajout d’après le cours « Intégration » (formes composées citées par le programme)</t>
        </is>
      </c>
      <c r="L64" s="14" t="n"/>
      <c r="M64" s="14" t="n"/>
    </row>
    <row r="65">
      <c r="A65" s="12" t="inlineStr">
        <is>
          <t>F064</t>
        </is>
      </c>
      <c r="B65" s="13" t="inlineStr">
        <is>
          <t>Noir – conforme</t>
        </is>
      </c>
      <c r="C65" s="12" t="inlineStr">
        <is>
          <t>Primitives usuelles</t>
        </is>
      </c>
      <c r="D65" s="12" t="inlineStr">
        <is>
          <t>Primitive de $u'\cos u$</t>
        </is>
      </c>
      <c r="E65" s="12" t="inlineStr">
        <is>
          <t>Soit $u$ une fonction de classe $\mathcal C^1$ sur un intervalle $I$.</t>
        </is>
      </c>
      <c r="F65" s="13" t="inlineStr">
        <is>
          <t>Donner une primitive de $u'\cos u$.</t>
        </is>
      </c>
      <c r="G65" s="12" t="inlineStr">
        <is>
          <t>$\sin u$</t>
        </is>
      </c>
      <c r="H65" s="12" t="inlineStr">
        <is>
          <t>Analyse 3 : « Primitives de u′eᵘ, u′uⁿ, u′/u, u′/√u, u′ sin u, u′ cos u. »</t>
        </is>
      </c>
      <c r="I65" s="12" t="n"/>
      <c r="J65" s="12" t="n"/>
      <c r="K65" s="12" t="inlineStr">
        <is>
          <t>Ajout d’après le cours « Intégration » (formes composées citées par le programme)</t>
        </is>
      </c>
      <c r="L65" s="14" t="n"/>
      <c r="M65" s="14" t="n"/>
    </row>
    <row r="66">
      <c r="A66" s="12" t="inlineStr">
        <is>
          <t>F065</t>
        </is>
      </c>
      <c r="B66" s="13" t="inlineStr">
        <is>
          <t>Noir – conforme</t>
        </is>
      </c>
      <c r="C66" s="12" t="inlineStr">
        <is>
          <t>Primitives usuelles</t>
        </is>
      </c>
      <c r="D66" s="12" t="inlineStr">
        <is>
          <t>Primitive de $u'\sin u$</t>
        </is>
      </c>
      <c r="E66" s="12" t="inlineStr">
        <is>
          <t>Soit $u$ une fonction de classe $\mathcal C^1$ sur un intervalle $I$.</t>
        </is>
      </c>
      <c r="F66" s="13" t="inlineStr">
        <is>
          <t>Donner une primitive de $u'\sin u$.</t>
        </is>
      </c>
      <c r="G66" s="12" t="inlineStr">
        <is>
          <t>$-\cos u$</t>
        </is>
      </c>
      <c r="H66" s="12" t="inlineStr">
        <is>
          <t>Analyse 3 : « Primitives de u′eᵘ, u′uⁿ, u′/u, u′/√u, u′ sin u, u′ cos u. »</t>
        </is>
      </c>
      <c r="I66" s="12" t="n"/>
      <c r="J66" s="12" t="n"/>
      <c r="K66" s="12" t="inlineStr">
        <is>
          <t>Ajout d’après le cours « Intégration » (formes composées citées par le programme)</t>
        </is>
      </c>
      <c r="L66" s="14" t="n"/>
      <c r="M66" s="14" t="n"/>
    </row>
    <row r="67">
      <c r="A67" s="9" t="inlineStr">
        <is>
          <t>F066</t>
        </is>
      </c>
      <c r="B67" s="10" t="inlineStr">
        <is>
          <t>Noir – conforme</t>
        </is>
      </c>
      <c r="C67" s="9" t="inlineStr">
        <is>
          <t>Trigonométrie</t>
        </is>
      </c>
      <c r="D67" s="9" t="inlineStr">
        <is>
          <t>$\cos\left(\frac\pi2\right)$</t>
        </is>
      </c>
      <c r="E67" s="9" t="n"/>
      <c r="F67" s="10" t="inlineStr">
        <is>
          <t>Donner la valeur exacte de $\cos\left(\frac\pi2\right)$.</t>
        </is>
      </c>
      <c r="G67" s="9" t="inlineStr">
        <is>
          <t>$0$</t>
        </is>
      </c>
      <c r="H67" s="9" t="inlineStr">
        <is>
          <t>Outils 3 : « Définition de cos(θ), sin(θ) et tan(θ). » Valeurs remarquables, prérequis du lycée.</t>
        </is>
      </c>
      <c r="I67" s="9" t="n"/>
      <c r="J67" s="9" t="n"/>
      <c r="K67" s="9" t="inlineStr">
        <is>
          <t>Ajout d’après le formulaire de trigonométrie</t>
        </is>
      </c>
      <c r="L67" s="11" t="n"/>
      <c r="M67" s="11" t="n"/>
    </row>
    <row r="68">
      <c r="A68" s="9" t="inlineStr">
        <is>
          <t>F067</t>
        </is>
      </c>
      <c r="B68" s="10" t="inlineStr">
        <is>
          <t>Noir – conforme</t>
        </is>
      </c>
      <c r="C68" s="9" t="inlineStr">
        <is>
          <t>Trigonométrie</t>
        </is>
      </c>
      <c r="D68" s="9" t="inlineStr">
        <is>
          <t>$\sin\left(\frac\pi2\right)$</t>
        </is>
      </c>
      <c r="E68" s="9" t="n"/>
      <c r="F68" s="10" t="inlineStr">
        <is>
          <t>Donner la valeur exacte de $\sin\left(\frac\pi2\right)$.</t>
        </is>
      </c>
      <c r="G68" s="9" t="inlineStr">
        <is>
          <t>$1$</t>
        </is>
      </c>
      <c r="H68" s="9" t="inlineStr">
        <is>
          <t>Outils 3 : « Définition de cos(θ), sin(θ) et tan(θ). » Valeurs remarquables, prérequis du lycée.</t>
        </is>
      </c>
      <c r="I68" s="9" t="n"/>
      <c r="J68" s="9" t="n"/>
      <c r="K68" s="9" t="inlineStr">
        <is>
          <t>Ajout d’après le formulaire de trigonométrie</t>
        </is>
      </c>
      <c r="L68" s="11" t="n"/>
      <c r="M68" s="11" t="n"/>
    </row>
    <row r="69">
      <c r="A69" s="9" t="inlineStr">
        <is>
          <t>F068</t>
        </is>
      </c>
      <c r="B69" s="10" t="inlineStr">
        <is>
          <t>Noir – conforme</t>
        </is>
      </c>
      <c r="C69" s="9" t="inlineStr">
        <is>
          <t>Trigonométrie</t>
        </is>
      </c>
      <c r="D69" s="9" t="inlineStr">
        <is>
          <t>$\cos\pi$</t>
        </is>
      </c>
      <c r="E69" s="9" t="n"/>
      <c r="F69" s="10" t="inlineStr">
        <is>
          <t>Donner la valeur exacte de $\cos\pi$.</t>
        </is>
      </c>
      <c r="G69" s="9" t="inlineStr">
        <is>
          <t>$-1$</t>
        </is>
      </c>
      <c r="H69" s="9" t="inlineStr">
        <is>
          <t>Outils 3 : « Définition de cos(θ), sin(θ) et tan(θ). » Valeurs remarquables, prérequis du lycée.</t>
        </is>
      </c>
      <c r="I69" s="9" t="n"/>
      <c r="J69" s="9" t="n"/>
      <c r="K69" s="9" t="inlineStr">
        <is>
          <t>Ajout d’après le formulaire de trigonométrie</t>
        </is>
      </c>
      <c r="L69" s="11" t="n"/>
      <c r="M69" s="11" t="n"/>
    </row>
    <row r="70">
      <c r="A70" s="9" t="inlineStr">
        <is>
          <t>F069</t>
        </is>
      </c>
      <c r="B70" s="10" t="inlineStr">
        <is>
          <t>Noir – conforme</t>
        </is>
      </c>
      <c r="C70" s="9" t="inlineStr">
        <is>
          <t>Trigonométrie</t>
        </is>
      </c>
      <c r="D70" s="9" t="inlineStr">
        <is>
          <t>$\sin\pi$</t>
        </is>
      </c>
      <c r="E70" s="9" t="n"/>
      <c r="F70" s="10" t="inlineStr">
        <is>
          <t>Donner la valeur exacte de $\sin\pi$.</t>
        </is>
      </c>
      <c r="G70" s="9" t="inlineStr">
        <is>
          <t>$0$</t>
        </is>
      </c>
      <c r="H70" s="9" t="inlineStr">
        <is>
          <t>Outils 3 : « Définition de cos(θ), sin(θ) et tan(θ). » Valeurs remarquables, prérequis du lycée.</t>
        </is>
      </c>
      <c r="I70" s="9" t="n"/>
      <c r="J70" s="9" t="n"/>
      <c r="K70" s="9" t="inlineStr">
        <is>
          <t>Ajout d’après le formulaire de trigonométrie</t>
        </is>
      </c>
      <c r="L70" s="11" t="n"/>
      <c r="M70" s="11" t="n"/>
    </row>
    <row r="71">
      <c r="A71" s="9" t="inlineStr">
        <is>
          <t>F070</t>
        </is>
      </c>
      <c r="B71" s="10" t="inlineStr">
        <is>
          <t>Noir – conforme</t>
        </is>
      </c>
      <c r="C71" s="9" t="inlineStr">
        <is>
          <t>Trigonométrie</t>
        </is>
      </c>
      <c r="D71" s="9" t="inlineStr">
        <is>
          <t>$\cos(a+2\pi)$</t>
        </is>
      </c>
      <c r="E71" s="9" t="inlineStr">
        <is>
          <t>Soit $a$ un réel.</t>
        </is>
      </c>
      <c r="F71" s="10" t="inlineStr">
        <is>
          <t>Compléter : $\cos(a+2\pi)$ $=\;\dots$</t>
        </is>
      </c>
      <c r="G71" s="9" t="inlineStr">
        <is>
          <t>$\cos a$ ($\cos$ et $\sin$ sont $2\pi$-périodiques)</t>
        </is>
      </c>
      <c r="H71" s="9" t="inlineStr">
        <is>
          <t>Outils 3 : « Formules découlant des symétries de cos, sin et tan » ; « Périodicité et symétries ».</t>
        </is>
      </c>
      <c r="I71" s="9" t="n"/>
      <c r="J71" s="9" t="n"/>
      <c r="K71" s="9" t="inlineStr">
        <is>
          <t>Ajout d’après le formulaire de trigonométrie</t>
        </is>
      </c>
      <c r="L71" s="11" t="n"/>
      <c r="M71" s="11" t="n"/>
    </row>
    <row r="72">
      <c r="A72" s="9" t="inlineStr">
        <is>
          <t>F071</t>
        </is>
      </c>
      <c r="B72" s="10" t="inlineStr">
        <is>
          <t>Noir – conforme</t>
        </is>
      </c>
      <c r="C72" s="9" t="inlineStr">
        <is>
          <t>Trigonométrie</t>
        </is>
      </c>
      <c r="D72" s="9" t="inlineStr">
        <is>
          <t>$\tan\left(\frac\pi2-a\right)$</t>
        </is>
      </c>
      <c r="E72" s="9" t="inlineStr">
        <is>
          <t>Soit $a$ un réel tel que $\tan a$ et $\tan\left(\frac\pi2-a\right)$ soient définis et $\tan a\neq0$.</t>
        </is>
      </c>
      <c r="F72" s="10" t="inlineStr">
        <is>
          <t>Compléter : $\tan\left(\frac\pi2-a\right)$ $=\;\dots$</t>
        </is>
      </c>
      <c r="G72" s="9" t="inlineStr">
        <is>
          <t>$\dfrac1{\tan a}$</t>
        </is>
      </c>
      <c r="H72" s="9" t="inlineStr">
        <is>
          <t>Outils 3 : « Formules découlant des symétries de cos, sin et tan » ; « Périodicité et symétries ».</t>
        </is>
      </c>
      <c r="I72" s="9" t="n"/>
      <c r="J72" s="9" t="n"/>
      <c r="K72" s="9" t="inlineStr">
        <is>
          <t>Ajout d’après le formulaire de trigonométrie</t>
        </is>
      </c>
      <c r="L72" s="11" t="n"/>
      <c r="M72" s="11" t="n"/>
    </row>
    <row r="73">
      <c r="A73" s="9" t="inlineStr">
        <is>
          <t>F072</t>
        </is>
      </c>
      <c r="B73" s="10" t="inlineStr">
        <is>
          <t>Noir – conforme</t>
        </is>
      </c>
      <c r="C73" s="9" t="inlineStr">
        <is>
          <t>Trigonométrie</t>
        </is>
      </c>
      <c r="D73" s="9" t="inlineStr">
        <is>
          <t>$\cos x=0$</t>
        </is>
      </c>
      <c r="E73" s="9" t="inlineStr">
        <is>
          <t>Soit $x$ un réel.</t>
        </is>
      </c>
      <c r="F73" s="10" t="inlineStr">
        <is>
          <t>Résoudre $\cos x=0$.</t>
        </is>
      </c>
      <c r="G73" s="9" t="inlineStr">
        <is>
          <t>$x=\dfrac\pi2+k\pi$, $k\in\mathbb Z$</t>
        </is>
      </c>
      <c r="H73" s="9" t="inlineStr">
        <is>
          <t>Outils 3 : « Résolution d'équations trigonométriques simples : cos(x) = c, sin(x) = s. »</t>
        </is>
      </c>
      <c r="I73" s="9" t="n"/>
      <c r="J73" s="9" t="n"/>
      <c r="K73" s="9" t="inlineStr">
        <is>
          <t>Ajout d’après le formulaire de trigonométrie</t>
        </is>
      </c>
      <c r="L73" s="11" t="n"/>
      <c r="M73" s="11" t="n"/>
    </row>
    <row r="74">
      <c r="A74" s="9" t="inlineStr">
        <is>
          <t>F073</t>
        </is>
      </c>
      <c r="B74" s="10" t="inlineStr">
        <is>
          <t>Noir – conforme</t>
        </is>
      </c>
      <c r="C74" s="9" t="inlineStr">
        <is>
          <t>Trigonométrie</t>
        </is>
      </c>
      <c r="D74" s="9" t="inlineStr">
        <is>
          <t>$\sin x=0$</t>
        </is>
      </c>
      <c r="E74" s="9" t="inlineStr">
        <is>
          <t>Soit $x$ un réel.</t>
        </is>
      </c>
      <c r="F74" s="10" t="inlineStr">
        <is>
          <t>Résoudre $\sin x=0$.</t>
        </is>
      </c>
      <c r="G74" s="9" t="inlineStr">
        <is>
          <t>$x=k\pi$, $k\in\mathbb Z$</t>
        </is>
      </c>
      <c r="H74" s="9" t="inlineStr">
        <is>
          <t>Outils 3 : « Résolution d'équations trigonométriques simples : cos(x) = c, sin(x) = s. »</t>
        </is>
      </c>
      <c r="I74" s="9" t="n"/>
      <c r="J74" s="9" t="n"/>
      <c r="K74" s="9" t="inlineStr">
        <is>
          <t>Ajout d’après le formulaire de trigonométrie</t>
        </is>
      </c>
      <c r="L74" s="11" t="n"/>
      <c r="M74" s="11" t="n"/>
    </row>
  </sheetData>
  <autoFilter ref="A1:M60"/>
  <dataValidations count="1">
    <dataValidation sqref="L2:L74"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3">
      <c r="A3" s="19" t="inlineStr">
        <is>
          <t>Statut</t>
        </is>
      </c>
      <c r="B3" s="19" t="inlineStr">
        <is>
          <t>Nombre de fiches</t>
        </is>
      </c>
      <c r="C3" s="19" t="inlineStr">
        <is>
          <t>Part</t>
        </is>
      </c>
    </row>
    <row r="4">
      <c r="A4" s="20" t="inlineStr">
        <is>
          <t>Noir – conforme</t>
        </is>
      </c>
      <c r="B4" s="21">
        <f>COUNTIF(Fiches!$B$2:$B$628,A4)</f>
        <v/>
      </c>
      <c r="C4" s="22">
        <f>IF($B$7=0,0,B4/$B$7)</f>
        <v/>
      </c>
    </row>
    <row r="5">
      <c r="A5" s="23" t="inlineStr">
        <is>
          <t>Orange – incertain</t>
        </is>
      </c>
      <c r="B5" s="21">
        <f>COUNTIF(Fiches!$B$2:$B$628,A5)</f>
        <v/>
      </c>
      <c r="C5" s="22">
        <f>IF($B$7=0,0,B5/$B$7)</f>
        <v/>
      </c>
    </row>
    <row r="6">
      <c r="A6" s="24" t="inlineStr">
        <is>
          <t>Rouge – hors programme</t>
        </is>
      </c>
      <c r="B6" s="21">
        <f>COUNTIF(Fiches!$B$2:$B$628,A6)</f>
        <v/>
      </c>
      <c r="C6" s="22">
        <f>IF($B$7=0,0,B6/$B$7)</f>
        <v/>
      </c>
    </row>
    <row r="7">
      <c r="A7" s="25" t="inlineStr">
        <is>
          <t>Total</t>
        </is>
      </c>
      <c r="B7" s="25">
        <f>SUM(B4:B6)</f>
        <v/>
      </c>
    </row>
    <row r="9">
      <c r="A9" s="25" t="inlineStr">
        <is>
          <t>Décisions saisies</t>
        </is>
      </c>
      <c r="B9" s="21">
        <f>COUNTA(Fiches!$M$2:$M$628)</f>
        <v/>
      </c>
    </row>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COUNTIFS(Fiches!$D$2:$D$628,$A13,Fiches!$B$2:$B$628,"Noir – conforme")</f>
        <v/>
      </c>
      <c r="C13" s="27">
        <f>COUNTIFS(Fiches!$D$2:$D$628,$A13,Fiches!$B$2:$B$628,"Orange – incertain")</f>
        <v/>
      </c>
      <c r="D13" s="28">
        <f>COUNTIFS(Fiches!$D$2:$D$628,$A13,Fiches!$B$2:$B$628,"Rouge – hors programme")</f>
        <v/>
      </c>
      <c r="E13" s="25">
        <f>SUM(B13:D13)</f>
        <v/>
      </c>
    </row>
    <row r="14">
      <c r="A14" s="21" t="inlineStr">
        <is>
          <t>BCPST1 · Outils 2 – Nombres réels</t>
        </is>
      </c>
      <c r="B14" s="26">
        <f>COUNTIFS(Fiches!$D$2:$D$628,$A14,Fiches!$B$2:$B$628,"Noir – conforme")</f>
        <v/>
      </c>
      <c r="C14" s="27">
        <f>COUNTIFS(Fiches!$D$2:$D$628,$A14,Fiches!$B$2:$B$628,"Orange – incertain")</f>
        <v/>
      </c>
      <c r="D14" s="28">
        <f>COUNTIFS(Fiches!$D$2:$D$628,$A14,Fiches!$B$2:$B$628,"Rouge – hors programme")</f>
        <v/>
      </c>
      <c r="E14" s="25">
        <f>SUM(B14:D14)</f>
        <v/>
      </c>
    </row>
    <row r="15">
      <c r="A15" s="21" t="inlineStr">
        <is>
          <t>BCPST1 · Outils 3 – Trigonométrie</t>
        </is>
      </c>
      <c r="B15" s="26">
        <f>COUNTIFS(Fiches!$D$2:$D$628,$A15,Fiches!$B$2:$B$628,"Noir – conforme")</f>
        <v/>
      </c>
      <c r="C15" s="27">
        <f>COUNTIFS(Fiches!$D$2:$D$628,$A15,Fiches!$B$2:$B$628,"Orange – incertain")</f>
        <v/>
      </c>
      <c r="D15" s="28">
        <f>COUNTIFS(Fiches!$D$2:$D$628,$A15,Fiches!$B$2:$B$628,"Rouge – hors programme")</f>
        <v/>
      </c>
      <c r="E15" s="25">
        <f>SUM(B15:D15)</f>
        <v/>
      </c>
    </row>
    <row r="16">
      <c r="A16" s="21" t="inlineStr">
        <is>
          <t>BCPST1 · Outils 4 – Nombres complexes</t>
        </is>
      </c>
      <c r="B16" s="26">
        <f>COUNTIFS(Fiches!$D$2:$D$628,$A16,Fiches!$B$2:$B$628,"Noir – conforme")</f>
        <v/>
      </c>
      <c r="C16" s="27">
        <f>COUNTIFS(Fiches!$D$2:$D$628,$A16,Fiches!$B$2:$B$628,"Orange – incertain")</f>
        <v/>
      </c>
      <c r="D16" s="28">
        <f>COUNTIFS(Fiches!$D$2:$D$628,$A16,Fiches!$B$2:$B$628,"Rouge – hors programme")</f>
        <v/>
      </c>
      <c r="E16" s="25">
        <f>SUM(B16:D16)</f>
        <v/>
      </c>
    </row>
    <row r="17">
      <c r="A17" s="21" t="inlineStr">
        <is>
          <t>BCPST1 · Outils 5 – Méthodes de calcul</t>
        </is>
      </c>
      <c r="B17" s="26">
        <f>COUNTIFS(Fiches!$D$2:$D$628,$A17,Fiches!$B$2:$B$628,"Noir – conforme")</f>
        <v/>
      </c>
      <c r="C17" s="27">
        <f>COUNTIFS(Fiches!$D$2:$D$628,$A17,Fiches!$B$2:$B$628,"Orange – incertain")</f>
        <v/>
      </c>
      <c r="D17" s="28">
        <f>COUNTIFS(Fiches!$D$2:$D$628,$A17,Fiches!$B$2:$B$628,"Rouge – hors programme")</f>
        <v/>
      </c>
      <c r="E17" s="25">
        <f>SUM(B17:D17)</f>
        <v/>
      </c>
    </row>
    <row r="18">
      <c r="A18" s="21" t="inlineStr">
        <is>
          <t>BCPST1 · Outils 6 – Vocabulaire des applications</t>
        </is>
      </c>
      <c r="B18" s="26">
        <f>COUNTIFS(Fiches!$D$2:$D$628,$A18,Fiches!$B$2:$B$628,"Noir – conforme")</f>
        <v/>
      </c>
      <c r="C18" s="27">
        <f>COUNTIFS(Fiches!$D$2:$D$628,$A18,Fiches!$B$2:$B$628,"Orange – incertain")</f>
        <v/>
      </c>
      <c r="D18" s="28">
        <f>COUNTIFS(Fiches!$D$2:$D$628,$A18,Fiches!$B$2:$B$628,"Rouge – hors programme")</f>
        <v/>
      </c>
      <c r="E18" s="25">
        <f>SUM(B18:D18)</f>
        <v/>
      </c>
    </row>
    <row r="19">
      <c r="A19" s="21" t="inlineStr">
        <is>
          <t>BCPST1 · Outils 7 – Dénombrement</t>
        </is>
      </c>
      <c r="B19" s="26">
        <f>COUNTIFS(Fiches!$D$2:$D$628,$A19,Fiches!$B$2:$B$628,"Noir – conforme")</f>
        <v/>
      </c>
      <c r="C19" s="27">
        <f>COUNTIFS(Fiches!$D$2:$D$628,$A19,Fiches!$B$2:$B$628,"Orange – incertain")</f>
        <v/>
      </c>
      <c r="D19" s="28">
        <f>COUNTIFS(Fiches!$D$2:$D$628,$A19,Fiches!$B$2:$B$628,"Rouge – hors programme")</f>
        <v/>
      </c>
      <c r="E19" s="25">
        <f>SUM(B19:D19)</f>
        <v/>
      </c>
    </row>
    <row r="20">
      <c r="A20" s="21" t="inlineStr">
        <is>
          <t>BCPST1 · Analyse 1 – Suites réelles usuelles</t>
        </is>
      </c>
      <c r="B20" s="26">
        <f>COUNTIFS(Fiches!$D$2:$D$628,$A20,Fiches!$B$2:$B$628,"Noir – conforme")</f>
        <v/>
      </c>
      <c r="C20" s="27">
        <f>COUNTIFS(Fiches!$D$2:$D$628,$A20,Fiches!$B$2:$B$628,"Orange – incertain")</f>
        <v/>
      </c>
      <c r="D20" s="28">
        <f>COUNTIFS(Fiches!$D$2:$D$628,$A20,Fiches!$B$2:$B$628,"Rouge – hors programme")</f>
        <v/>
      </c>
      <c r="E20" s="25">
        <f>SUM(B20:D20)</f>
        <v/>
      </c>
    </row>
    <row r="21">
      <c r="A21" s="21" t="inlineStr">
        <is>
          <t>BCPST1 · Analyse 2 – Fonctions réelles usuelles</t>
        </is>
      </c>
      <c r="B21" s="26">
        <f>COUNTIFS(Fiches!$D$2:$D$628,$A21,Fiches!$B$2:$B$628,"Noir – conforme")</f>
        <v/>
      </c>
      <c r="C21" s="27">
        <f>COUNTIFS(Fiches!$D$2:$D$628,$A21,Fiches!$B$2:$B$628,"Orange – incertain")</f>
        <v/>
      </c>
      <c r="D21" s="28">
        <f>COUNTIFS(Fiches!$D$2:$D$628,$A21,Fiches!$B$2:$B$628,"Rouge – hors programme")</f>
        <v/>
      </c>
      <c r="E21" s="25">
        <f>SUM(B21:D21)</f>
        <v/>
      </c>
    </row>
    <row r="22">
      <c r="A22" s="21" t="inlineStr">
        <is>
          <t>BCPST1 · Analyse 3 – Dérivées, primitives, intégrales</t>
        </is>
      </c>
      <c r="B22" s="26">
        <f>COUNTIFS(Fiches!$D$2:$D$628,$A22,Fiches!$B$2:$B$628,"Noir – conforme")</f>
        <v/>
      </c>
      <c r="C22" s="27">
        <f>COUNTIFS(Fiches!$D$2:$D$628,$A22,Fiches!$B$2:$B$628,"Orange – incertain")</f>
        <v/>
      </c>
      <c r="D22" s="28">
        <f>COUNTIFS(Fiches!$D$2:$D$628,$A22,Fiches!$B$2:$B$628,"Rouge – hors programme")</f>
        <v/>
      </c>
      <c r="E22" s="25">
        <f>SUM(B22:D22)</f>
        <v/>
      </c>
    </row>
    <row r="23">
      <c r="A23" s="21" t="inlineStr">
        <is>
          <t>BCPST1 · Analyse 4 – Équations différentielles linéaires</t>
        </is>
      </c>
      <c r="B23" s="26">
        <f>COUNTIFS(Fiches!$D$2:$D$628,$A23,Fiches!$B$2:$B$628,"Noir – conforme")</f>
        <v/>
      </c>
      <c r="C23" s="27">
        <f>COUNTIFS(Fiches!$D$2:$D$628,$A23,Fiches!$B$2:$B$628,"Orange – incertain")</f>
        <v/>
      </c>
      <c r="D23" s="28">
        <f>COUNTIFS(Fiches!$D$2:$D$628,$A23,Fiches!$B$2:$B$628,"Rouge – hors programme")</f>
        <v/>
      </c>
      <c r="E23" s="25">
        <f>SUM(B23:D23)</f>
        <v/>
      </c>
    </row>
    <row r="24">
      <c r="A24" s="21" t="inlineStr">
        <is>
          <t>BCPST1 · Algèbre linéaire 1 – Systèmes linéaires</t>
        </is>
      </c>
      <c r="B24" s="26">
        <f>COUNTIFS(Fiches!$D$2:$D$628,$A24,Fiches!$B$2:$B$628,"Noir – conforme")</f>
        <v/>
      </c>
      <c r="C24" s="27">
        <f>COUNTIFS(Fiches!$D$2:$D$628,$A24,Fiches!$B$2:$B$628,"Orange – incertain")</f>
        <v/>
      </c>
      <c r="D24" s="28">
        <f>COUNTIFS(Fiches!$D$2:$D$628,$A24,Fiches!$B$2:$B$628,"Rouge – hors programme")</f>
        <v/>
      </c>
      <c r="E24" s="25">
        <f>SUM(B24:D24)</f>
        <v/>
      </c>
    </row>
    <row r="25">
      <c r="A25" s="21" t="inlineStr">
        <is>
          <t>BCPST1 · Algèbre linéaire 2 – Matrices</t>
        </is>
      </c>
      <c r="B25" s="26">
        <f>COUNTIFS(Fiches!$D$2:$D$628,$A25,Fiches!$B$2:$B$628,"Noir – conforme")</f>
        <v/>
      </c>
      <c r="C25" s="27">
        <f>COUNTIFS(Fiches!$D$2:$D$628,$A25,Fiches!$B$2:$B$628,"Orange – incertain")</f>
        <v/>
      </c>
      <c r="D25" s="28">
        <f>COUNTIFS(Fiches!$D$2:$D$628,$A25,Fiches!$B$2:$B$628,"Rouge – hors programme")</f>
        <v/>
      </c>
      <c r="E25" s="25">
        <f>SUM(B25:D25)</f>
        <v/>
      </c>
    </row>
    <row r="26">
      <c r="A26" s="21" t="inlineStr">
        <is>
          <t>BCPST1 · Géométrie 1</t>
        </is>
      </c>
      <c r="B26" s="26">
        <f>COUNTIFS(Fiches!$D$2:$D$628,$A26,Fiches!$B$2:$B$628,"Noir – conforme")</f>
        <v/>
      </c>
      <c r="C26" s="27">
        <f>COUNTIFS(Fiches!$D$2:$D$628,$A26,Fiches!$B$2:$B$628,"Orange – incertain")</f>
        <v/>
      </c>
      <c r="D26" s="28">
        <f>COUNTIFS(Fiches!$D$2:$D$628,$A26,Fiches!$B$2:$B$628,"Rouge – hors programme")</f>
        <v/>
      </c>
      <c r="E26" s="25">
        <f>SUM(B26:D26)</f>
        <v/>
      </c>
    </row>
    <row r="27">
      <c r="A27" s="21" t="inlineStr">
        <is>
          <t>BCPST1 · Algèbre – Polynômes réels</t>
        </is>
      </c>
      <c r="B27" s="26">
        <f>COUNTIFS(Fiches!$D$2:$D$628,$A27,Fiches!$B$2:$B$628,"Noir – conforme")</f>
        <v/>
      </c>
      <c r="C27" s="27">
        <f>COUNTIFS(Fiches!$D$2:$D$628,$A27,Fiches!$B$2:$B$628,"Orange – incertain")</f>
        <v/>
      </c>
      <c r="D27" s="28">
        <f>COUNTIFS(Fiches!$D$2:$D$628,$A27,Fiches!$B$2:$B$628,"Rouge – hors programme")</f>
        <v/>
      </c>
      <c r="E27" s="25">
        <f>SUM(B27:D27)</f>
        <v/>
      </c>
    </row>
    <row r="28">
      <c r="A28" s="21" t="inlineStr">
        <is>
          <t>BCPST1 · Analyse 5 – Suites réelles</t>
        </is>
      </c>
      <c r="B28" s="26">
        <f>COUNTIFS(Fiches!$D$2:$D$628,$A28,Fiches!$B$2:$B$628,"Noir – conforme")</f>
        <v/>
      </c>
      <c r="C28" s="27">
        <f>COUNTIFS(Fiches!$D$2:$D$628,$A28,Fiches!$B$2:$B$628,"Orange – incertain")</f>
        <v/>
      </c>
      <c r="D28" s="28">
        <f>COUNTIFS(Fiches!$D$2:$D$628,$A28,Fiches!$B$2:$B$628,"Rouge – hors programme")</f>
        <v/>
      </c>
      <c r="E28" s="25">
        <f>SUM(B28:D28)</f>
        <v/>
      </c>
    </row>
    <row r="29">
      <c r="A29" s="21" t="inlineStr">
        <is>
          <t>BCPST1 · Analyse 6 – Limites, continuité</t>
        </is>
      </c>
      <c r="B29" s="26">
        <f>COUNTIFS(Fiches!$D$2:$D$628,$A29,Fiches!$B$2:$B$628,"Noir – conforme")</f>
        <v/>
      </c>
      <c r="C29" s="27">
        <f>COUNTIFS(Fiches!$D$2:$D$628,$A29,Fiches!$B$2:$B$628,"Orange – incertain")</f>
        <v/>
      </c>
      <c r="D29" s="28">
        <f>COUNTIFS(Fiches!$D$2:$D$628,$A29,Fiches!$B$2:$B$628,"Rouge – hors programme")</f>
        <v/>
      </c>
      <c r="E29" s="25">
        <f>SUM(B29:D29)</f>
        <v/>
      </c>
    </row>
    <row r="30">
      <c r="A30" s="21" t="inlineStr">
        <is>
          <t>BCPST1 · Analyse 7 – Dérivation</t>
        </is>
      </c>
      <c r="B30" s="26">
        <f>COUNTIFS(Fiches!$D$2:$D$628,$A30,Fiches!$B$2:$B$628,"Noir – conforme")</f>
        <v/>
      </c>
      <c r="C30" s="27">
        <f>COUNTIFS(Fiches!$D$2:$D$628,$A30,Fiches!$B$2:$B$628,"Orange – incertain")</f>
        <v/>
      </c>
      <c r="D30" s="28">
        <f>COUNTIFS(Fiches!$D$2:$D$628,$A30,Fiches!$B$2:$B$628,"Rouge – hors programme")</f>
        <v/>
      </c>
      <c r="E30" s="25">
        <f>SUM(B30:D30)</f>
        <v/>
      </c>
    </row>
    <row r="31">
      <c r="A31" s="21" t="inlineStr">
        <is>
          <t>BCPST1 · Analyse 8 – Intégration sur un segment</t>
        </is>
      </c>
      <c r="B31" s="26">
        <f>COUNTIFS(Fiches!$D$2:$D$628,$A31,Fiches!$B$2:$B$628,"Noir – conforme")</f>
        <v/>
      </c>
      <c r="C31" s="27">
        <f>COUNTIFS(Fiches!$D$2:$D$628,$A31,Fiches!$B$2:$B$628,"Orange – incertain")</f>
        <v/>
      </c>
      <c r="D31" s="28">
        <f>COUNTIFS(Fiches!$D$2:$D$628,$A31,Fiches!$B$2:$B$628,"Rouge – hors programme")</f>
        <v/>
      </c>
      <c r="E31" s="25">
        <f>SUM(B31:D31)</f>
        <v/>
      </c>
    </row>
    <row r="32">
      <c r="A32" s="21" t="inlineStr">
        <is>
          <t>BCPST1 · Analyse 9 – Développements limités</t>
        </is>
      </c>
      <c r="B32" s="26">
        <f>COUNTIFS(Fiches!$D$2:$D$628,$A32,Fiches!$B$2:$B$628,"Noir – conforme")</f>
        <v/>
      </c>
      <c r="C32" s="27">
        <f>COUNTIFS(Fiches!$D$2:$D$628,$A32,Fiches!$B$2:$B$628,"Orange – incertain")</f>
        <v/>
      </c>
      <c r="D32" s="28">
        <f>COUNTIFS(Fiches!$D$2:$D$628,$A32,Fiches!$B$2:$B$628,"Rouge – hors programme")</f>
        <v/>
      </c>
      <c r="E32" s="25">
        <f>SUM(B32:D32)</f>
        <v/>
      </c>
    </row>
    <row r="33">
      <c r="A33" s="21" t="inlineStr">
        <is>
          <t>BCPST1 · Analyse 10 – Fonctions de deux variables</t>
        </is>
      </c>
      <c r="B33" s="26">
        <f>COUNTIFS(Fiches!$D$2:$D$628,$A33,Fiches!$B$2:$B$628,"Noir – conforme")</f>
        <v/>
      </c>
      <c r="C33" s="27">
        <f>COUNTIFS(Fiches!$D$2:$D$628,$A33,Fiches!$B$2:$B$628,"Orange – incertain")</f>
        <v/>
      </c>
      <c r="D33" s="28">
        <f>COUNTIFS(Fiches!$D$2:$D$628,$A33,Fiches!$B$2:$B$628,"Rouge – hors programme")</f>
        <v/>
      </c>
      <c r="E33" s="25">
        <f>SUM(B33:D33)</f>
        <v/>
      </c>
    </row>
    <row r="34">
      <c r="A34" s="21" t="inlineStr">
        <is>
          <t>BCPST1 · Probabilités 1 – Concepts de base</t>
        </is>
      </c>
      <c r="B34" s="26">
        <f>COUNTIFS(Fiches!$D$2:$D$628,$A34,Fiches!$B$2:$B$628,"Noir – conforme")</f>
        <v/>
      </c>
      <c r="C34" s="27">
        <f>COUNTIFS(Fiches!$D$2:$D$628,$A34,Fiches!$B$2:$B$628,"Orange – incertain")</f>
        <v/>
      </c>
      <c r="D34" s="28">
        <f>COUNTIFS(Fiches!$D$2:$D$628,$A34,Fiches!$B$2:$B$628,"Rouge – hors programme")</f>
        <v/>
      </c>
      <c r="E34" s="25">
        <f>SUM(B34:D34)</f>
        <v/>
      </c>
    </row>
    <row r="35">
      <c r="A35" s="21" t="inlineStr">
        <is>
          <t>BCPST1 · Probabilités 2 – Variables sur un univers fini</t>
        </is>
      </c>
      <c r="B35" s="26">
        <f>COUNTIFS(Fiches!$D$2:$D$628,$A35,Fiches!$B$2:$B$628,"Noir – conforme")</f>
        <v/>
      </c>
      <c r="C35" s="27">
        <f>COUNTIFS(Fiches!$D$2:$D$628,$A35,Fiches!$B$2:$B$628,"Orange – incertain")</f>
        <v/>
      </c>
      <c r="D35" s="28">
        <f>COUNTIFS(Fiches!$D$2:$D$628,$A35,Fiches!$B$2:$B$628,"Rouge – hors programme")</f>
        <v/>
      </c>
      <c r="E35" s="25">
        <f>SUM(B35:D35)</f>
        <v/>
      </c>
    </row>
    <row r="36">
      <c r="A36" s="21" t="inlineStr">
        <is>
          <t>BCPST2 · Analyse 1 – Séries réelles</t>
        </is>
      </c>
      <c r="B36" s="26">
        <f>COUNTIFS(Fiches!$D$2:$D$628,$A36,Fiches!$B$2:$B$628,"Noir – conforme")</f>
        <v/>
      </c>
      <c r="C36" s="27">
        <f>COUNTIFS(Fiches!$D$2:$D$628,$A36,Fiches!$B$2:$B$628,"Orange – incertain")</f>
        <v/>
      </c>
      <c r="D36" s="28">
        <f>COUNTIFS(Fiches!$D$2:$D$628,$A36,Fiches!$B$2:$B$628,"Rouge – hors programme")</f>
        <v/>
      </c>
      <c r="E36" s="25">
        <f>SUM(B36:D36)</f>
        <v/>
      </c>
    </row>
    <row r="37">
      <c r="A37" s="21" t="inlineStr">
        <is>
          <t>BCPST2 · Analyse 2 – Intégrales généralisées</t>
        </is>
      </c>
      <c r="B37" s="26">
        <f>COUNTIFS(Fiches!$D$2:$D$628,$A37,Fiches!$B$2:$B$628,"Noir – conforme")</f>
        <v/>
      </c>
      <c r="C37" s="27">
        <f>COUNTIFS(Fiches!$D$2:$D$628,$A37,Fiches!$B$2:$B$628,"Orange – incertain")</f>
        <v/>
      </c>
      <c r="D37" s="28">
        <f>COUNTIFS(Fiches!$D$2:$D$628,$A37,Fiches!$B$2:$B$628,"Rouge – hors programme")</f>
        <v/>
      </c>
      <c r="E37" s="25">
        <f>SUM(B37:D37)</f>
        <v/>
      </c>
    </row>
    <row r="38">
      <c r="A38" s="21" t="inlineStr">
        <is>
          <t>BCPST2 · Algèbre – Polynômes</t>
        </is>
      </c>
      <c r="B38" s="26">
        <f>COUNTIFS(Fiches!$D$2:$D$628,$A38,Fiches!$B$2:$B$628,"Noir – conforme")</f>
        <v/>
      </c>
      <c r="C38" s="27">
        <f>COUNTIFS(Fiches!$D$2:$D$628,$A38,Fiches!$B$2:$B$628,"Orange – incertain")</f>
        <v/>
      </c>
      <c r="D38" s="28">
        <f>COUNTIFS(Fiches!$D$2:$D$628,$A38,Fiches!$B$2:$B$628,"Rouge – hors programme")</f>
        <v/>
      </c>
      <c r="E38" s="25">
        <f>SUM(B38:D38)</f>
        <v/>
      </c>
    </row>
    <row r="39">
      <c r="A39" s="21" t="inlineStr">
        <is>
          <t>BCPST2 · Algèbre linéaire 1 – Espaces vectoriels</t>
        </is>
      </c>
      <c r="B39" s="26">
        <f>COUNTIFS(Fiches!$D$2:$D$628,$A39,Fiches!$B$2:$B$628,"Noir – conforme")</f>
        <v/>
      </c>
      <c r="C39" s="27">
        <f>COUNTIFS(Fiches!$D$2:$D$628,$A39,Fiches!$B$2:$B$628,"Orange – incertain")</f>
        <v/>
      </c>
      <c r="D39" s="28">
        <f>COUNTIFS(Fiches!$D$2:$D$628,$A39,Fiches!$B$2:$B$628,"Rouge – hors programme")</f>
        <v/>
      </c>
      <c r="E39" s="25">
        <f>SUM(B39:D39)</f>
        <v/>
      </c>
    </row>
    <row r="40">
      <c r="A40" s="21" t="inlineStr">
        <is>
          <t>BCPST2 · Algèbre linéaire 2 – Applications linéaires et matrices</t>
        </is>
      </c>
      <c r="B40" s="26">
        <f>COUNTIFS(Fiches!$D$2:$D$628,$A40,Fiches!$B$2:$B$628,"Noir – conforme")</f>
        <v/>
      </c>
      <c r="C40" s="27">
        <f>COUNTIFS(Fiches!$D$2:$D$628,$A40,Fiches!$B$2:$B$628,"Orange – incertain")</f>
        <v/>
      </c>
      <c r="D40" s="28">
        <f>COUNTIFS(Fiches!$D$2:$D$628,$A40,Fiches!$B$2:$B$628,"Rouge – hors programme")</f>
        <v/>
      </c>
      <c r="E40" s="25">
        <f>SUM(B40:D40)</f>
        <v/>
      </c>
    </row>
    <row r="41">
      <c r="A41" s="21" t="inlineStr">
        <is>
          <t>BCPST2 · Algèbre linéaire 3 – Valeurs propres</t>
        </is>
      </c>
      <c r="B41" s="26">
        <f>COUNTIFS(Fiches!$D$2:$D$628,$A41,Fiches!$B$2:$B$628,"Noir – conforme")</f>
        <v/>
      </c>
      <c r="C41" s="27">
        <f>COUNTIFS(Fiches!$D$2:$D$628,$A41,Fiches!$B$2:$B$628,"Orange – incertain")</f>
        <v/>
      </c>
      <c r="D41" s="28">
        <f>COUNTIFS(Fiches!$D$2:$D$628,$A41,Fiches!$B$2:$B$628,"Rouge – hors programme")</f>
        <v/>
      </c>
      <c r="E41" s="25">
        <f>SUM(B41:D41)</f>
        <v/>
      </c>
    </row>
    <row r="42">
      <c r="A42" s="21" t="inlineStr">
        <is>
          <t>BCPST2 · Géométrie – Produit scalaire dans Rⁿ</t>
        </is>
      </c>
      <c r="B42" s="26">
        <f>COUNTIFS(Fiches!$D$2:$D$628,$A42,Fiches!$B$2:$B$628,"Noir – conforme")</f>
        <v/>
      </c>
      <c r="C42" s="27">
        <f>COUNTIFS(Fiches!$D$2:$D$628,$A42,Fiches!$B$2:$B$628,"Orange – incertain")</f>
        <v/>
      </c>
      <c r="D42" s="28">
        <f>COUNTIFS(Fiches!$D$2:$D$628,$A42,Fiches!$B$2:$B$628,"Rouge – hors programme")</f>
        <v/>
      </c>
      <c r="E42" s="25">
        <f>SUM(B42:D42)</f>
        <v/>
      </c>
    </row>
    <row r="43">
      <c r="A43" s="21" t="inlineStr">
        <is>
          <t>BCPST2 · Probabilités 1 – Concepts de base</t>
        </is>
      </c>
      <c r="B43" s="26">
        <f>COUNTIFS(Fiches!$D$2:$D$628,$A43,Fiches!$B$2:$B$628,"Noir – conforme")</f>
        <v/>
      </c>
      <c r="C43" s="27">
        <f>COUNTIFS(Fiches!$D$2:$D$628,$A43,Fiches!$B$2:$B$628,"Orange – incertain")</f>
        <v/>
      </c>
      <c r="D43" s="28">
        <f>COUNTIFS(Fiches!$D$2:$D$628,$A43,Fiches!$B$2:$B$628,"Rouge – hors programme")</f>
        <v/>
      </c>
      <c r="E43" s="25">
        <f>SUM(B43:D43)</f>
        <v/>
      </c>
    </row>
    <row r="44">
      <c r="A44" s="21" t="inlineStr">
        <is>
          <t>BCPST2 · Probabilités 2 – Variables discrètes</t>
        </is>
      </c>
      <c r="B44" s="26">
        <f>COUNTIFS(Fiches!$D$2:$D$628,$A44,Fiches!$B$2:$B$628,"Noir – conforme")</f>
        <v/>
      </c>
      <c r="C44" s="27">
        <f>COUNTIFS(Fiches!$D$2:$D$628,$A44,Fiches!$B$2:$B$628,"Orange – incertain")</f>
        <v/>
      </c>
      <c r="D44" s="28">
        <f>COUNTIFS(Fiches!$D$2:$D$628,$A44,Fiches!$B$2:$B$628,"Rouge – hors programme")</f>
        <v/>
      </c>
      <c r="E44" s="25">
        <f>SUM(B44:D44)</f>
        <v/>
      </c>
    </row>
    <row r="45">
      <c r="A45" s="21" t="inlineStr">
        <is>
          <t>BCPST2 · Probabilités 3 – Couples discrets</t>
        </is>
      </c>
      <c r="B45" s="26">
        <f>COUNTIFS(Fiches!$D$2:$D$628,$A45,Fiches!$B$2:$B$628,"Noir – conforme")</f>
        <v/>
      </c>
      <c r="C45" s="27">
        <f>COUNTIFS(Fiches!$D$2:$D$628,$A45,Fiches!$B$2:$B$628,"Orange – incertain")</f>
        <v/>
      </c>
      <c r="D45" s="28">
        <f>COUNTIFS(Fiches!$D$2:$D$628,$A45,Fiches!$B$2:$B$628,"Rouge – hors programme")</f>
        <v/>
      </c>
      <c r="E45" s="25">
        <f>SUM(B45:D45)</f>
        <v/>
      </c>
    </row>
    <row r="46">
      <c r="A46" s="21" t="inlineStr">
        <is>
          <t>BCPST2 · Probabilités 4 – Variables à densité</t>
        </is>
      </c>
      <c r="B46" s="26">
        <f>COUNTIFS(Fiches!$D$2:$D$628,$A46,Fiches!$B$2:$B$628,"Noir – conforme")</f>
        <v/>
      </c>
      <c r="C46" s="27">
        <f>COUNTIFS(Fiches!$D$2:$D$628,$A46,Fiches!$B$2:$B$628,"Orange – incertain")</f>
        <v/>
      </c>
      <c r="D46" s="28">
        <f>COUNTIFS(Fiches!$D$2:$D$628,$A46,Fiches!$B$2:$B$628,"Rouge – hors programme")</f>
        <v/>
      </c>
      <c r="E46" s="25">
        <f>SUM(B46:D46)</f>
        <v/>
      </c>
    </row>
    <row r="47">
      <c r="A47" s="21" t="inlineStr">
        <is>
          <t>BCPST2 · Probabilités 5 – Théorèmes limites</t>
        </is>
      </c>
      <c r="B47" s="26">
        <f>COUNTIFS(Fiches!$D$2:$D$628,$A47,Fiches!$B$2:$B$628,"Noir – conforme")</f>
        <v/>
      </c>
      <c r="C47" s="27">
        <f>COUNTIFS(Fiches!$D$2:$D$628,$A47,Fiches!$B$2:$B$628,"Orange – incertain")</f>
        <v/>
      </c>
      <c r="D47" s="28">
        <f>COUNTIFS(Fiches!$D$2:$D$628,$A47,Fiches!$B$2:$B$628,"Rouge – hors programme")</f>
        <v/>
      </c>
      <c r="E47" s="25">
        <f>SUM(B47:D47)</f>
        <v/>
      </c>
    </row>
    <row r="48">
      <c r="A48" s="21" t="inlineStr">
        <is>
          <t>Hors des chapitres du programme</t>
        </is>
      </c>
      <c r="B48" s="26">
        <f>COUNTIFS(Fiches!$D$2:$D$628,$A48,Fiches!$B$2:$B$628,"Noir – conforme")</f>
        <v/>
      </c>
      <c r="C48" s="27">
        <f>COUNTIFS(Fiches!$D$2:$D$628,$A48,Fiches!$B$2:$B$628,"Orange – incertain")</f>
        <v/>
      </c>
      <c r="D48" s="28">
        <f>COUNTIFS(Fiches!$D$2:$D$628,$A48,Fiches!$B$2:$B$628,"Rouge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2026-10-24T07:32:06Z</dcterms:modified>
</cp:coreProperties>
</file>